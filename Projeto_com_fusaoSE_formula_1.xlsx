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juni\OneDrive\Área de Trabalho\JUNIOR\ESTUDO DE ANALISE DE DADOS\pasta de prjetos com excel\"/>
    </mc:Choice>
  </mc:AlternateContent>
  <xr:revisionPtr revIDLastSave="0" documentId="13_ncr:1_{EDBE3A04-53C6-430D-8EDA-006DF69474C5}" xr6:coauthVersionLast="47" xr6:coauthVersionMax="47" xr10:uidLastSave="{00000000-0000-0000-0000-000000000000}"/>
  <bookViews>
    <workbookView xWindow="34215" yWindow="900" windowWidth="18975" windowHeight="11295" tabRatio="957" activeTab="1" xr2:uid="{85B08948-7BCF-4007-BABB-111144F4B1B5}"/>
  </bookViews>
  <sheets>
    <sheet name="Treino" sheetId="3" r:id="rId1"/>
    <sheet name="Treino 2" sheetId="8" r:id="rId2"/>
    <sheet name="ÍNDICE CORRESP" sheetId="6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8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2" i="3"/>
</calcChain>
</file>

<file path=xl/sharedStrings.xml><?xml version="1.0" encoding="utf-8"?>
<sst xmlns="http://schemas.openxmlformats.org/spreadsheetml/2006/main" count="1770" uniqueCount="761">
  <si>
    <t>Código</t>
  </si>
  <si>
    <t>Venda</t>
  </si>
  <si>
    <t>Grife</t>
  </si>
  <si>
    <t>Marca</t>
  </si>
  <si>
    <t>H7456916</t>
  </si>
  <si>
    <t>Grife A</t>
  </si>
  <si>
    <t>Marca 1</t>
  </si>
  <si>
    <t>H5476299</t>
  </si>
  <si>
    <t>H9375185</t>
  </si>
  <si>
    <t>Marca 2</t>
  </si>
  <si>
    <t>H4295561</t>
  </si>
  <si>
    <t>H6678964</t>
  </si>
  <si>
    <t>Grife B</t>
  </si>
  <si>
    <t>Marca 5</t>
  </si>
  <si>
    <t>H2487368</t>
  </si>
  <si>
    <t>H2192354</t>
  </si>
  <si>
    <t>H6581757</t>
  </si>
  <si>
    <t>H9356582</t>
  </si>
  <si>
    <t>H8582572</t>
  </si>
  <si>
    <t>H1557724</t>
  </si>
  <si>
    <t>H6584776</t>
  </si>
  <si>
    <t>Marca 7</t>
  </si>
  <si>
    <t>H4282491</t>
  </si>
  <si>
    <t>H5119127</t>
  </si>
  <si>
    <t>Marca 8</t>
  </si>
  <si>
    <t>H8288269</t>
  </si>
  <si>
    <t>H1239266</t>
  </si>
  <si>
    <t>Grife C</t>
  </si>
  <si>
    <t>Marca 10</t>
  </si>
  <si>
    <t>H7335166</t>
  </si>
  <si>
    <t>Marca 4</t>
  </si>
  <si>
    <t>H6674297</t>
  </si>
  <si>
    <t>H4359799</t>
  </si>
  <si>
    <t>Marca 6</t>
  </si>
  <si>
    <t>H5749531</t>
  </si>
  <si>
    <t>H8398811</t>
  </si>
  <si>
    <t>H6625557</t>
  </si>
  <si>
    <t>H6331125</t>
  </si>
  <si>
    <t>H2928229</t>
  </si>
  <si>
    <t>H6229952</t>
  </si>
  <si>
    <t>Marca 3</t>
  </si>
  <si>
    <t>H7796811</t>
  </si>
  <si>
    <t>H5567899</t>
  </si>
  <si>
    <t>H6197166</t>
  </si>
  <si>
    <t>H7518739</t>
  </si>
  <si>
    <t>H4393958</t>
  </si>
  <si>
    <t>H4871984</t>
  </si>
  <si>
    <t>H4811864</t>
  </si>
  <si>
    <t>H2339551</t>
  </si>
  <si>
    <t>H4386211</t>
  </si>
  <si>
    <t>H1721566</t>
  </si>
  <si>
    <t>H3844191</t>
  </si>
  <si>
    <t>H9767846</t>
  </si>
  <si>
    <t>H7789815</t>
  </si>
  <si>
    <t>H7781645</t>
  </si>
  <si>
    <t>H1429372</t>
  </si>
  <si>
    <t>Marca 9</t>
  </si>
  <si>
    <t>H8515884</t>
  </si>
  <si>
    <t>H4512195</t>
  </si>
  <si>
    <t>H6242689</t>
  </si>
  <si>
    <t>H6264338</t>
  </si>
  <si>
    <t>H6482212</t>
  </si>
  <si>
    <t>H8361281</t>
  </si>
  <si>
    <t>H9238619</t>
  </si>
  <si>
    <t>H9621384</t>
  </si>
  <si>
    <t>H1614495</t>
  </si>
  <si>
    <t>H4695813</t>
  </si>
  <si>
    <t>H4436337</t>
  </si>
  <si>
    <t>H2995916</t>
  </si>
  <si>
    <t>H2881183</t>
  </si>
  <si>
    <t>H7525998</t>
  </si>
  <si>
    <t>H9462865</t>
  </si>
  <si>
    <t>H7359347</t>
  </si>
  <si>
    <t>H2489648</t>
  </si>
  <si>
    <t>H7622893</t>
  </si>
  <si>
    <t>H5676994</t>
  </si>
  <si>
    <t>H3945276</t>
  </si>
  <si>
    <t>H2885339</t>
  </si>
  <si>
    <t>H6937446</t>
  </si>
  <si>
    <t>H2196131</t>
  </si>
  <si>
    <t>H8759484</t>
  </si>
  <si>
    <t>H7136268</t>
  </si>
  <si>
    <t>H4161759</t>
  </si>
  <si>
    <t>H5119178</t>
  </si>
  <si>
    <t>H3481682</t>
  </si>
  <si>
    <t>H6493232</t>
  </si>
  <si>
    <t>H8787325</t>
  </si>
  <si>
    <t>H5717545</t>
  </si>
  <si>
    <t>H8382716</t>
  </si>
  <si>
    <t>H5454665</t>
  </si>
  <si>
    <t>H3774431</t>
  </si>
  <si>
    <t>H7267192</t>
  </si>
  <si>
    <t>H8916427</t>
  </si>
  <si>
    <t>H7376463</t>
  </si>
  <si>
    <t>H8512811</t>
  </si>
  <si>
    <t>H1349658</t>
  </si>
  <si>
    <t>H3851628</t>
  </si>
  <si>
    <t>H4415295</t>
  </si>
  <si>
    <t>H4241328</t>
  </si>
  <si>
    <t>H5649632</t>
  </si>
  <si>
    <t>H5384869</t>
  </si>
  <si>
    <t>H6693717</t>
  </si>
  <si>
    <t>H9456547</t>
  </si>
  <si>
    <t>H6956388</t>
  </si>
  <si>
    <t>H2117885</t>
  </si>
  <si>
    <t>H5378114</t>
  </si>
  <si>
    <t>H7456244</t>
  </si>
  <si>
    <t>H1841325</t>
  </si>
  <si>
    <t>H7914914</t>
  </si>
  <si>
    <t>H9412612</t>
  </si>
  <si>
    <t>H5887189</t>
  </si>
  <si>
    <t>H1899676</t>
  </si>
  <si>
    <t>H7156984</t>
  </si>
  <si>
    <t>H1152473</t>
  </si>
  <si>
    <t>H5282332</t>
  </si>
  <si>
    <t>H5641838</t>
  </si>
  <si>
    <t>H3253798</t>
  </si>
  <si>
    <t>H7887912</t>
  </si>
  <si>
    <t>H6987531</t>
  </si>
  <si>
    <t>H4434667</t>
  </si>
  <si>
    <t>H6352994</t>
  </si>
  <si>
    <t>H3593953</t>
  </si>
  <si>
    <t>H6489556</t>
  </si>
  <si>
    <t>H2197959</t>
  </si>
  <si>
    <t>H1454742</t>
  </si>
  <si>
    <t>H7312576</t>
  </si>
  <si>
    <t>H6244618</t>
  </si>
  <si>
    <t>H5566895</t>
  </si>
  <si>
    <t>H1355265</t>
  </si>
  <si>
    <t>H7112581</t>
  </si>
  <si>
    <t>H2354132</t>
  </si>
  <si>
    <t>Grife D</t>
  </si>
  <si>
    <t>Marca 11</t>
  </si>
  <si>
    <t>H8222671</t>
  </si>
  <si>
    <t>H7742644</t>
  </si>
  <si>
    <t>H6114355</t>
  </si>
  <si>
    <t>H4622427</t>
  </si>
  <si>
    <t>H6191394</t>
  </si>
  <si>
    <t>H5815652</t>
  </si>
  <si>
    <t>H4413731</t>
  </si>
  <si>
    <t>H6129625</t>
  </si>
  <si>
    <t>H8916435</t>
  </si>
  <si>
    <t>H7474598</t>
  </si>
  <si>
    <t>H6619526</t>
  </si>
  <si>
    <t>H8821483</t>
  </si>
  <si>
    <t>H4577447</t>
  </si>
  <si>
    <t>H3178168</t>
  </si>
  <si>
    <t>H8617463</t>
  </si>
  <si>
    <t>H9273742</t>
  </si>
  <si>
    <t>H2756366</t>
  </si>
  <si>
    <t>H1513787</t>
  </si>
  <si>
    <t>H3634945</t>
  </si>
  <si>
    <t>H7641217</t>
  </si>
  <si>
    <t>H1242522</t>
  </si>
  <si>
    <t>H3248849</t>
  </si>
  <si>
    <t>H3188499</t>
  </si>
  <si>
    <t>H9296644</t>
  </si>
  <si>
    <t>H3392111</t>
  </si>
  <si>
    <t>H6748342</t>
  </si>
  <si>
    <t>H2236866</t>
  </si>
  <si>
    <t>H5759127</t>
  </si>
  <si>
    <t>H8227399</t>
  </si>
  <si>
    <t>H9396886</t>
  </si>
  <si>
    <t>H3981257</t>
  </si>
  <si>
    <t>H7997928</t>
  </si>
  <si>
    <t>H6192159</t>
  </si>
  <si>
    <t>H6985475</t>
  </si>
  <si>
    <t>H3569886</t>
  </si>
  <si>
    <t>H5722146</t>
  </si>
  <si>
    <t>H3189335</t>
  </si>
  <si>
    <t>H7669628</t>
  </si>
  <si>
    <t>H6437938</t>
  </si>
  <si>
    <t>H3684398</t>
  </si>
  <si>
    <t>H5682781</t>
  </si>
  <si>
    <t>H8867162</t>
  </si>
  <si>
    <t>H9267828</t>
  </si>
  <si>
    <t>H8366498</t>
  </si>
  <si>
    <t>H6472889</t>
  </si>
  <si>
    <t>H7737631</t>
  </si>
  <si>
    <t>H2863484</t>
  </si>
  <si>
    <t>H2285645</t>
  </si>
  <si>
    <t>H8914997</t>
  </si>
  <si>
    <t>H7878899</t>
  </si>
  <si>
    <t>H7799862</t>
  </si>
  <si>
    <t>H5626682</t>
  </si>
  <si>
    <t>H3231921</t>
  </si>
  <si>
    <t>H7826239</t>
  </si>
  <si>
    <t>H4544949</t>
  </si>
  <si>
    <t>H4892511</t>
  </si>
  <si>
    <t>H3586689</t>
  </si>
  <si>
    <t>H5993872</t>
  </si>
  <si>
    <t>H1912689</t>
  </si>
  <si>
    <t>H9997142</t>
  </si>
  <si>
    <t>H2586994</t>
  </si>
  <si>
    <t>H2621733</t>
  </si>
  <si>
    <t>H6227393</t>
  </si>
  <si>
    <t>H7354664</t>
  </si>
  <si>
    <t>H1594758</t>
  </si>
  <si>
    <t>H9932276</t>
  </si>
  <si>
    <t>H3489121</t>
  </si>
  <si>
    <t>H5331614</t>
  </si>
  <si>
    <t>H4235495</t>
  </si>
  <si>
    <t>H2456743</t>
  </si>
  <si>
    <t>H4674513</t>
  </si>
  <si>
    <t>H1894298</t>
  </si>
  <si>
    <t>H1982363</t>
  </si>
  <si>
    <t>H5819776</t>
  </si>
  <si>
    <t>H9238825</t>
  </si>
  <si>
    <t>H4364193</t>
  </si>
  <si>
    <t>H1932266</t>
  </si>
  <si>
    <t>H5759131</t>
  </si>
  <si>
    <t>H7899412</t>
  </si>
  <si>
    <t>H8935495</t>
  </si>
  <si>
    <t>H6797816</t>
  </si>
  <si>
    <t>H2722974</t>
  </si>
  <si>
    <t>H2853248</t>
  </si>
  <si>
    <t>H5792567</t>
  </si>
  <si>
    <t>H6673588</t>
  </si>
  <si>
    <t>H9488972</t>
  </si>
  <si>
    <t>H8852495</t>
  </si>
  <si>
    <t>H7353625</t>
  </si>
  <si>
    <t>H6178598</t>
  </si>
  <si>
    <t>H4328961</t>
  </si>
  <si>
    <t>H7291111</t>
  </si>
  <si>
    <t>H9941732</t>
  </si>
  <si>
    <t>Marca 12</t>
  </si>
  <si>
    <t>H8183574</t>
  </si>
  <si>
    <t>H8767411</t>
  </si>
  <si>
    <t>H4557864</t>
  </si>
  <si>
    <t>H6794996</t>
  </si>
  <si>
    <t>H9479769</t>
  </si>
  <si>
    <t>H4244545</t>
  </si>
  <si>
    <t>H3492844</t>
  </si>
  <si>
    <t>H8395422</t>
  </si>
  <si>
    <t>H5674793</t>
  </si>
  <si>
    <t>H9153773</t>
  </si>
  <si>
    <t>H9917221</t>
  </si>
  <si>
    <t>H9416993</t>
  </si>
  <si>
    <t>H6724342</t>
  </si>
  <si>
    <t>H1666756</t>
  </si>
  <si>
    <t>H7898739</t>
  </si>
  <si>
    <t>H9236922</t>
  </si>
  <si>
    <t>H6911866</t>
  </si>
  <si>
    <t>H2335645</t>
  </si>
  <si>
    <t>H3632714</t>
  </si>
  <si>
    <t>H4781547</t>
  </si>
  <si>
    <t>H6895413</t>
  </si>
  <si>
    <t>H6899349</t>
  </si>
  <si>
    <t>H8649426</t>
  </si>
  <si>
    <t>H9923717</t>
  </si>
  <si>
    <t>H4337598</t>
  </si>
  <si>
    <t>H9978341</t>
  </si>
  <si>
    <t>H1123415</t>
  </si>
  <si>
    <t>H8285426</t>
  </si>
  <si>
    <t>H7275934</t>
  </si>
  <si>
    <t>H1418441</t>
  </si>
  <si>
    <t>H8414913</t>
  </si>
  <si>
    <t>H1479161</t>
  </si>
  <si>
    <t>H3948589</t>
  </si>
  <si>
    <t>H4844364</t>
  </si>
  <si>
    <t>H2136545</t>
  </si>
  <si>
    <t>H2644969</t>
  </si>
  <si>
    <t>H7912132</t>
  </si>
  <si>
    <t>H9761125</t>
  </si>
  <si>
    <t>H4878183</t>
  </si>
  <si>
    <t>H3568146</t>
  </si>
  <si>
    <t>H7519152</t>
  </si>
  <si>
    <t>H4128942</t>
  </si>
  <si>
    <t>H9659514</t>
  </si>
  <si>
    <t>H9643748</t>
  </si>
  <si>
    <t>H3645445</t>
  </si>
  <si>
    <t>H8255783</t>
  </si>
  <si>
    <t>H5755281</t>
  </si>
  <si>
    <t>H5293135</t>
  </si>
  <si>
    <t>H5646269</t>
  </si>
  <si>
    <t>H9363333</t>
  </si>
  <si>
    <t>H2443364</t>
  </si>
  <si>
    <t>H8676455</t>
  </si>
  <si>
    <t>H9461656</t>
  </si>
  <si>
    <t>H7667273</t>
  </si>
  <si>
    <t>H2597939</t>
  </si>
  <si>
    <t>H4362329</t>
  </si>
  <si>
    <t>H1816863</t>
  </si>
  <si>
    <t>H4323235</t>
  </si>
  <si>
    <t>H5526541</t>
  </si>
  <si>
    <t>H7195399</t>
  </si>
  <si>
    <t>H6492628</t>
  </si>
  <si>
    <t>H4317678</t>
  </si>
  <si>
    <t>H9317354</t>
  </si>
  <si>
    <t>H1576864</t>
  </si>
  <si>
    <t>H1823258</t>
  </si>
  <si>
    <t>H4532681</t>
  </si>
  <si>
    <t>H4614997</t>
  </si>
  <si>
    <t>H2665294</t>
  </si>
  <si>
    <t>H8736537</t>
  </si>
  <si>
    <t>H8987294</t>
  </si>
  <si>
    <t>H7852591</t>
  </si>
  <si>
    <t>H4833671</t>
  </si>
  <si>
    <t>H6888898</t>
  </si>
  <si>
    <t>H8195249</t>
  </si>
  <si>
    <t>H9296693</t>
  </si>
  <si>
    <t>H8244398</t>
  </si>
  <si>
    <t>H5912136</t>
  </si>
  <si>
    <t>H8463358</t>
  </si>
  <si>
    <t>H6458111</t>
  </si>
  <si>
    <t>H2979527</t>
  </si>
  <si>
    <t>H1438189</t>
  </si>
  <si>
    <t>H9839763</t>
  </si>
  <si>
    <t>H8878767</t>
  </si>
  <si>
    <t>H4426838</t>
  </si>
  <si>
    <t>H6747412</t>
  </si>
  <si>
    <t>H9728445</t>
  </si>
  <si>
    <t>H9283721</t>
  </si>
  <si>
    <t>H3672911</t>
  </si>
  <si>
    <t>H5451268</t>
  </si>
  <si>
    <t>H8771671</t>
  </si>
  <si>
    <t>H1352189</t>
  </si>
  <si>
    <t>H9693112</t>
  </si>
  <si>
    <t>H3783945</t>
  </si>
  <si>
    <t>H9891992</t>
  </si>
  <si>
    <t>H6856477</t>
  </si>
  <si>
    <t>H6229435</t>
  </si>
  <si>
    <t>H1842136</t>
  </si>
  <si>
    <t>H4699387</t>
  </si>
  <si>
    <t>H7476418</t>
  </si>
  <si>
    <t>H2821646</t>
  </si>
  <si>
    <t>H9834169</t>
  </si>
  <si>
    <t>H7151218</t>
  </si>
  <si>
    <t>Mínimo</t>
  </si>
  <si>
    <t>Máximo</t>
  </si>
  <si>
    <t>-</t>
  </si>
  <si>
    <t>Produto</t>
  </si>
  <si>
    <t>Crie fórmulas que coloquem as grifes e as vendas automaticamente</t>
  </si>
  <si>
    <t>Destino</t>
  </si>
  <si>
    <t>Valor</t>
  </si>
  <si>
    <t>Produto 1</t>
  </si>
  <si>
    <t>Produto 2</t>
  </si>
  <si>
    <t>Produto 3</t>
  </si>
  <si>
    <t>Produto 4</t>
  </si>
  <si>
    <t>Produto 5</t>
  </si>
  <si>
    <t>Produto 6</t>
  </si>
  <si>
    <t>Produto 7</t>
  </si>
  <si>
    <t>Produto 8</t>
  </si>
  <si>
    <t>Produto 9</t>
  </si>
  <si>
    <t>Produto 10</t>
  </si>
  <si>
    <t>Produto 11</t>
  </si>
  <si>
    <t>Produto 12</t>
  </si>
  <si>
    <t>Produto 13</t>
  </si>
  <si>
    <t>Produto 14</t>
  </si>
  <si>
    <t>Produto 15</t>
  </si>
  <si>
    <t>Produto 16</t>
  </si>
  <si>
    <t>Produto 17</t>
  </si>
  <si>
    <t>Produto 18</t>
  </si>
  <si>
    <t>Produto 19</t>
  </si>
  <si>
    <t>Produto 20</t>
  </si>
  <si>
    <t>Produto 21</t>
  </si>
  <si>
    <t>Produto 22</t>
  </si>
  <si>
    <t>Produto 23</t>
  </si>
  <si>
    <t>Produto 24</t>
  </si>
  <si>
    <t>Produto 25</t>
  </si>
  <si>
    <t>Produto 26</t>
  </si>
  <si>
    <t>Produto 27</t>
  </si>
  <si>
    <t>Produto 28</t>
  </si>
  <si>
    <t>Produto 29</t>
  </si>
  <si>
    <t>Produto 30</t>
  </si>
  <si>
    <t>Produto 31</t>
  </si>
  <si>
    <t>Produto 32</t>
  </si>
  <si>
    <t>Produto 33</t>
  </si>
  <si>
    <t>Produto 34</t>
  </si>
  <si>
    <t>Produto 35</t>
  </si>
  <si>
    <t>Produto 36</t>
  </si>
  <si>
    <t>Produto 37</t>
  </si>
  <si>
    <t>Produto 38</t>
  </si>
  <si>
    <t>Produto 39</t>
  </si>
  <si>
    <t>Produto 40</t>
  </si>
  <si>
    <t>Produto 41</t>
  </si>
  <si>
    <t>Produto 42</t>
  </si>
  <si>
    <t>Produto 43</t>
  </si>
  <si>
    <t>Produto 44</t>
  </si>
  <si>
    <t>Produto 45</t>
  </si>
  <si>
    <t>Produto 46</t>
  </si>
  <si>
    <t>Produto 47</t>
  </si>
  <si>
    <t>Produto 48</t>
  </si>
  <si>
    <t>Produto 49</t>
  </si>
  <si>
    <t>Produto 50</t>
  </si>
  <si>
    <t>Produto 51</t>
  </si>
  <si>
    <t>Produto 52</t>
  </si>
  <si>
    <t>Produto 53</t>
  </si>
  <si>
    <t>Produto 54</t>
  </si>
  <si>
    <t>Produto 55</t>
  </si>
  <si>
    <t>Produto 56</t>
  </si>
  <si>
    <t>Produto 57</t>
  </si>
  <si>
    <t>Produto 58</t>
  </si>
  <si>
    <t>Produto 59</t>
  </si>
  <si>
    <t>Produto 60</t>
  </si>
  <si>
    <t>Produto 61</t>
  </si>
  <si>
    <t>Produto 62</t>
  </si>
  <si>
    <t>Produto 63</t>
  </si>
  <si>
    <t>Produto 64</t>
  </si>
  <si>
    <t>Produto 65</t>
  </si>
  <si>
    <t>Produto 66</t>
  </si>
  <si>
    <t>Produto 67</t>
  </si>
  <si>
    <t>Produto 68</t>
  </si>
  <si>
    <t>Produto 69</t>
  </si>
  <si>
    <t>Produto 70</t>
  </si>
  <si>
    <t>Produto 71</t>
  </si>
  <si>
    <t>Produto 72</t>
  </si>
  <si>
    <t>Produto 73</t>
  </si>
  <si>
    <t>Produto 74</t>
  </si>
  <si>
    <t>Produto 75</t>
  </si>
  <si>
    <t>Produto 76</t>
  </si>
  <si>
    <t>Produto 77</t>
  </si>
  <si>
    <t>Produto 78</t>
  </si>
  <si>
    <t>Produto 79</t>
  </si>
  <si>
    <t>Produto 80</t>
  </si>
  <si>
    <t>Produto 81</t>
  </si>
  <si>
    <t>Produto 82</t>
  </si>
  <si>
    <t>Produto 83</t>
  </si>
  <si>
    <t>Produto 84</t>
  </si>
  <si>
    <t>Produto 85</t>
  </si>
  <si>
    <t>Produto 86</t>
  </si>
  <si>
    <t>Produto 87</t>
  </si>
  <si>
    <t>Produto 88</t>
  </si>
  <si>
    <t>Produto 89</t>
  </si>
  <si>
    <t>Produto 90</t>
  </si>
  <si>
    <t>Produto 91</t>
  </si>
  <si>
    <t>Produto 92</t>
  </si>
  <si>
    <t>Produto 93</t>
  </si>
  <si>
    <t>Produto 94</t>
  </si>
  <si>
    <t>Produto 95</t>
  </si>
  <si>
    <t>Produto 96</t>
  </si>
  <si>
    <t>Produto 97</t>
  </si>
  <si>
    <t>Produto 98</t>
  </si>
  <si>
    <t>Produto 99</t>
  </si>
  <si>
    <t>Produto 100</t>
  </si>
  <si>
    <t>Produto 101</t>
  </si>
  <si>
    <t>Produto 102</t>
  </si>
  <si>
    <t>Produto 103</t>
  </si>
  <si>
    <t>Produto 104</t>
  </si>
  <si>
    <t>Produto 105</t>
  </si>
  <si>
    <t>Produto 106</t>
  </si>
  <si>
    <t>Produto 107</t>
  </si>
  <si>
    <t>Produto 108</t>
  </si>
  <si>
    <t>Produto 109</t>
  </si>
  <si>
    <t>Produto 110</t>
  </si>
  <si>
    <t>Produto 111</t>
  </si>
  <si>
    <t>Produto 112</t>
  </si>
  <si>
    <t>Produto 113</t>
  </si>
  <si>
    <t>Produto 114</t>
  </si>
  <si>
    <t>Produto 115</t>
  </si>
  <si>
    <t>Produto 116</t>
  </si>
  <si>
    <t>Produto 117</t>
  </si>
  <si>
    <t>Produto 118</t>
  </si>
  <si>
    <t>Produto 119</t>
  </si>
  <si>
    <t>Produto 120</t>
  </si>
  <si>
    <t>Produto 121</t>
  </si>
  <si>
    <t>Produto 122</t>
  </si>
  <si>
    <t>Produto 123</t>
  </si>
  <si>
    <t>Produto 124</t>
  </si>
  <si>
    <t>Produto 125</t>
  </si>
  <si>
    <t>Produto 126</t>
  </si>
  <si>
    <t>Produto 127</t>
  </si>
  <si>
    <t>Produto 128</t>
  </si>
  <si>
    <t>Produto 129</t>
  </si>
  <si>
    <t>Produto 130</t>
  </si>
  <si>
    <t>Produto 131</t>
  </si>
  <si>
    <t>Produto 132</t>
  </si>
  <si>
    <t>Produto 133</t>
  </si>
  <si>
    <t>Produto 134</t>
  </si>
  <si>
    <t>Produto 135</t>
  </si>
  <si>
    <t>Produto 136</t>
  </si>
  <si>
    <t>Produto 137</t>
  </si>
  <si>
    <t>Produto 138</t>
  </si>
  <si>
    <t>Produto 139</t>
  </si>
  <si>
    <t>Produto 140</t>
  </si>
  <si>
    <t>Produto 141</t>
  </si>
  <si>
    <t>Produto 142</t>
  </si>
  <si>
    <t>Produto 143</t>
  </si>
  <si>
    <t>Produto 144</t>
  </si>
  <si>
    <t>Produto 145</t>
  </si>
  <si>
    <t>Produto 146</t>
  </si>
  <si>
    <t>Produto 147</t>
  </si>
  <si>
    <t>Produto 148</t>
  </si>
  <si>
    <t>Produto 149</t>
  </si>
  <si>
    <t>Produto 150</t>
  </si>
  <si>
    <t>Produto 151</t>
  </si>
  <si>
    <t>Produto 152</t>
  </si>
  <si>
    <t>Produto 153</t>
  </si>
  <si>
    <t>Produto 154</t>
  </si>
  <si>
    <t>Produto 155</t>
  </si>
  <si>
    <t>Produto 156</t>
  </si>
  <si>
    <t>Produto 157</t>
  </si>
  <si>
    <t>Produto 158</t>
  </si>
  <si>
    <t>Produto 159</t>
  </si>
  <si>
    <t>Produto 160</t>
  </si>
  <si>
    <t>Produto 161</t>
  </si>
  <si>
    <t>Produto 162</t>
  </si>
  <si>
    <t>Produto 163</t>
  </si>
  <si>
    <t>Produto 164</t>
  </si>
  <si>
    <t>Produto 165</t>
  </si>
  <si>
    <t>Produto 166</t>
  </si>
  <si>
    <t>Produto 167</t>
  </si>
  <si>
    <t>Produto 168</t>
  </si>
  <si>
    <t>Produto 169</t>
  </si>
  <si>
    <t>Produto 170</t>
  </si>
  <si>
    <t>Produto 171</t>
  </si>
  <si>
    <t>Produto 172</t>
  </si>
  <si>
    <t>Produto 173</t>
  </si>
  <si>
    <t>Produto 174</t>
  </si>
  <si>
    <t>Produto 175</t>
  </si>
  <si>
    <t>Produto 176</t>
  </si>
  <si>
    <t>Produto 177</t>
  </si>
  <si>
    <t>Produto 178</t>
  </si>
  <si>
    <t>Produto 179</t>
  </si>
  <si>
    <t>Produto 180</t>
  </si>
  <si>
    <t>Produto 181</t>
  </si>
  <si>
    <t>Produto 182</t>
  </si>
  <si>
    <t>Produto 183</t>
  </si>
  <si>
    <t>Produto 184</t>
  </si>
  <si>
    <t>Produto 185</t>
  </si>
  <si>
    <t>Produto 186</t>
  </si>
  <si>
    <t>Produto 187</t>
  </si>
  <si>
    <t>Produto 188</t>
  </si>
  <si>
    <t>Produto 189</t>
  </si>
  <si>
    <t>Produto 190</t>
  </si>
  <si>
    <t>Produto 191</t>
  </si>
  <si>
    <t>Produto 192</t>
  </si>
  <si>
    <t>Produto 193</t>
  </si>
  <si>
    <t>Produto 194</t>
  </si>
  <si>
    <t>Produto 195</t>
  </si>
  <si>
    <t>Produto 196</t>
  </si>
  <si>
    <t>Produto 197</t>
  </si>
  <si>
    <t>Produto 198</t>
  </si>
  <si>
    <t>Produto 199</t>
  </si>
  <si>
    <t>Produto 200</t>
  </si>
  <si>
    <t>Produto 201</t>
  </si>
  <si>
    <t>Produto 202</t>
  </si>
  <si>
    <t>Produto 203</t>
  </si>
  <si>
    <t>Produto 204</t>
  </si>
  <si>
    <t>Produto 205</t>
  </si>
  <si>
    <t>Produto 206</t>
  </si>
  <si>
    <t>Produto 207</t>
  </si>
  <si>
    <t>Produto 208</t>
  </si>
  <si>
    <t>Produto 209</t>
  </si>
  <si>
    <t>Produto 210</t>
  </si>
  <si>
    <t>Produto 211</t>
  </si>
  <si>
    <t>Produto 212</t>
  </si>
  <si>
    <t>Produto 213</t>
  </si>
  <si>
    <t>Produto 214</t>
  </si>
  <si>
    <t>Produto 215</t>
  </si>
  <si>
    <t>Produto 216</t>
  </si>
  <si>
    <t>Produto 217</t>
  </si>
  <si>
    <t>Produto 218</t>
  </si>
  <si>
    <t>Produto 219</t>
  </si>
  <si>
    <t>Produto 220</t>
  </si>
  <si>
    <t>Produto 221</t>
  </si>
  <si>
    <t>Produto 222</t>
  </si>
  <si>
    <t>Produto 223</t>
  </si>
  <si>
    <t>Produto 224</t>
  </si>
  <si>
    <t>Produto 225</t>
  </si>
  <si>
    <t>Produto 226</t>
  </si>
  <si>
    <t>Produto 227</t>
  </si>
  <si>
    <t>Produto 228</t>
  </si>
  <si>
    <t>Produto 229</t>
  </si>
  <si>
    <t>Produto 230</t>
  </si>
  <si>
    <t>Produto 231</t>
  </si>
  <si>
    <t>Produto 232</t>
  </si>
  <si>
    <t>Produto 233</t>
  </si>
  <si>
    <t>Produto 234</t>
  </si>
  <si>
    <t>Produto 235</t>
  </si>
  <si>
    <t>Produto 236</t>
  </si>
  <si>
    <t>Produto 237</t>
  </si>
  <si>
    <t>Produto 238</t>
  </si>
  <si>
    <t>Produto 239</t>
  </si>
  <si>
    <t>Produto 240</t>
  </si>
  <si>
    <t>Produto 241</t>
  </si>
  <si>
    <t>Produto 242</t>
  </si>
  <si>
    <t>Produto 243</t>
  </si>
  <si>
    <t>Produto 244</t>
  </si>
  <si>
    <t>Produto 245</t>
  </si>
  <si>
    <t>Produto 246</t>
  </si>
  <si>
    <t>Produto 247</t>
  </si>
  <si>
    <t>Produto 248</t>
  </si>
  <si>
    <t>Produto 249</t>
  </si>
  <si>
    <t>Produto 250</t>
  </si>
  <si>
    <t>Produto 251</t>
  </si>
  <si>
    <t>Produto 252</t>
  </si>
  <si>
    <t>Produto 253</t>
  </si>
  <si>
    <t>Produto 254</t>
  </si>
  <si>
    <t>Produto 255</t>
  </si>
  <si>
    <t>Produto 256</t>
  </si>
  <si>
    <t>Produto 257</t>
  </si>
  <si>
    <t>Produto 258</t>
  </si>
  <si>
    <t>Produto 259</t>
  </si>
  <si>
    <t>Produto 260</t>
  </si>
  <si>
    <t>Produto 261</t>
  </si>
  <si>
    <t>Produto 262</t>
  </si>
  <si>
    <t>Produto 263</t>
  </si>
  <si>
    <t>Produto 264</t>
  </si>
  <si>
    <t>Produto 265</t>
  </si>
  <si>
    <t>Produto 266</t>
  </si>
  <si>
    <t>Produto 267</t>
  </si>
  <si>
    <t>Produto 268</t>
  </si>
  <si>
    <t>Produto 269</t>
  </si>
  <si>
    <t>Produto 270</t>
  </si>
  <si>
    <t>Produto 271</t>
  </si>
  <si>
    <t>Produto 272</t>
  </si>
  <si>
    <t>Produto 273</t>
  </si>
  <si>
    <t>Produto 274</t>
  </si>
  <si>
    <t>Produto 275</t>
  </si>
  <si>
    <t>Produto 276</t>
  </si>
  <si>
    <t>Produto 277</t>
  </si>
  <si>
    <t>Produto 278</t>
  </si>
  <si>
    <t>Produto 279</t>
  </si>
  <si>
    <t>Produto 280</t>
  </si>
  <si>
    <t>Produto 281</t>
  </si>
  <si>
    <t>Produto 282</t>
  </si>
  <si>
    <t>Produto 283</t>
  </si>
  <si>
    <t>Produto 284</t>
  </si>
  <si>
    <t>Produto 285</t>
  </si>
  <si>
    <t>Produto 286</t>
  </si>
  <si>
    <t>Produto 287</t>
  </si>
  <si>
    <t>Produto 288</t>
  </si>
  <si>
    <t>Produto 289</t>
  </si>
  <si>
    <t>Produto 290</t>
  </si>
  <si>
    <t>Produto 291</t>
  </si>
  <si>
    <t>Produto 292</t>
  </si>
  <si>
    <t>Produto 293</t>
  </si>
  <si>
    <t>Produto 294</t>
  </si>
  <si>
    <t>Produto 295</t>
  </si>
  <si>
    <t>Produto 296</t>
  </si>
  <si>
    <t>Produto 297</t>
  </si>
  <si>
    <t>Produto 298</t>
  </si>
  <si>
    <t>Produto 299</t>
  </si>
  <si>
    <t>Produto 300</t>
  </si>
  <si>
    <t>Produto 301</t>
  </si>
  <si>
    <t>Produto 302</t>
  </si>
  <si>
    <t>Produto 303</t>
  </si>
  <si>
    <t>Produto 304</t>
  </si>
  <si>
    <t>Produto 305</t>
  </si>
  <si>
    <t>Produto 306</t>
  </si>
  <si>
    <t>Produto 307</t>
  </si>
  <si>
    <t>Produto 308</t>
  </si>
  <si>
    <t>Produto 309</t>
  </si>
  <si>
    <t>Produto 310</t>
  </si>
  <si>
    <t>Produto 311</t>
  </si>
  <si>
    <t>Produto 312</t>
  </si>
  <si>
    <t>Produto 313</t>
  </si>
  <si>
    <t>Produto 314</t>
  </si>
  <si>
    <t>Produto 315</t>
  </si>
  <si>
    <t>Produto 316</t>
  </si>
  <si>
    <t>Produto 317</t>
  </si>
  <si>
    <t>Produto 318</t>
  </si>
  <si>
    <t>Produto 319</t>
  </si>
  <si>
    <t>Produto 320</t>
  </si>
  <si>
    <t>Produto 321</t>
  </si>
  <si>
    <t>Produto 322</t>
  </si>
  <si>
    <t>Produto 323</t>
  </si>
  <si>
    <t>Produto 324</t>
  </si>
  <si>
    <t>Produto 325</t>
  </si>
  <si>
    <t>Produto 326</t>
  </si>
  <si>
    <t>Produto 327</t>
  </si>
  <si>
    <t>Produto 328</t>
  </si>
  <si>
    <t>Produto 329</t>
  </si>
  <si>
    <t>Produto 330</t>
  </si>
  <si>
    <t>Produto 331</t>
  </si>
  <si>
    <t>Produto 332</t>
  </si>
  <si>
    <t>Produto 333</t>
  </si>
  <si>
    <t>Produto 334</t>
  </si>
  <si>
    <t>Produto 335</t>
  </si>
  <si>
    <t>Produto 336</t>
  </si>
  <si>
    <t>Produto 337</t>
  </si>
  <si>
    <t>Produto 338</t>
  </si>
  <si>
    <t>Produto 339</t>
  </si>
  <si>
    <t>Produto 340</t>
  </si>
  <si>
    <t>Produto 341</t>
  </si>
  <si>
    <t>Produto 342</t>
  </si>
  <si>
    <t>Produto 343</t>
  </si>
  <si>
    <t>Produto 344</t>
  </si>
  <si>
    <t>Produto 345</t>
  </si>
  <si>
    <t>Produto 346</t>
  </si>
  <si>
    <t>Produto 347</t>
  </si>
  <si>
    <t>Produto 348</t>
  </si>
  <si>
    <t>Produto 349</t>
  </si>
  <si>
    <t>Produto 350</t>
  </si>
  <si>
    <t>Produto 351</t>
  </si>
  <si>
    <t>Produto 352</t>
  </si>
  <si>
    <t>Produto 353</t>
  </si>
  <si>
    <t>Produto 354</t>
  </si>
  <si>
    <t>Produto 355</t>
  </si>
  <si>
    <t>Produto 356</t>
  </si>
  <si>
    <t>Produto 357</t>
  </si>
  <si>
    <t>Produto 358</t>
  </si>
  <si>
    <t>Produto 359</t>
  </si>
  <si>
    <t>Produto 360</t>
  </si>
  <si>
    <t>Produto 361</t>
  </si>
  <si>
    <t>Produto 362</t>
  </si>
  <si>
    <t>Produto 363</t>
  </si>
  <si>
    <t>Produto 364</t>
  </si>
  <si>
    <t>Produto 365</t>
  </si>
  <si>
    <t>Produto 366</t>
  </si>
  <si>
    <t>Produto 367</t>
  </si>
  <si>
    <t>Produto 368</t>
  </si>
  <si>
    <t>Produto 369</t>
  </si>
  <si>
    <t>Produto 370</t>
  </si>
  <si>
    <t>Produto 371</t>
  </si>
  <si>
    <t>Produto 372</t>
  </si>
  <si>
    <t>Produto 373</t>
  </si>
  <si>
    <t>Produto 374</t>
  </si>
  <si>
    <t>Produto 375</t>
  </si>
  <si>
    <t>Produto 376</t>
  </si>
  <si>
    <t>Produto 377</t>
  </si>
  <si>
    <t>Produto 378</t>
  </si>
  <si>
    <t>Produto 379</t>
  </si>
  <si>
    <t>Produto 380</t>
  </si>
  <si>
    <t>Produto 381</t>
  </si>
  <si>
    <t>Produto 382</t>
  </si>
  <si>
    <t>Produto 383</t>
  </si>
  <si>
    <t>Produto 384</t>
  </si>
  <si>
    <t>Produto 385</t>
  </si>
  <si>
    <t>Produto 386</t>
  </si>
  <si>
    <t>Produto 387</t>
  </si>
  <si>
    <t>Produto 388</t>
  </si>
  <si>
    <t>Produto 389</t>
  </si>
  <si>
    <t>Produto 390</t>
  </si>
  <si>
    <t>Produto 391</t>
  </si>
  <si>
    <t>Produto 392</t>
  </si>
  <si>
    <t>Produto 393</t>
  </si>
  <si>
    <t>Produto 394</t>
  </si>
  <si>
    <t>Produto 395</t>
  </si>
  <si>
    <t>Produto 396</t>
  </si>
  <si>
    <t>Produto 397</t>
  </si>
  <si>
    <t>Produto 398</t>
  </si>
  <si>
    <t>Produto 399</t>
  </si>
  <si>
    <t>Produto 400</t>
  </si>
  <si>
    <t>Argentina</t>
  </si>
  <si>
    <t>Alemanha</t>
  </si>
  <si>
    <t>França</t>
  </si>
  <si>
    <t>Rússia</t>
  </si>
  <si>
    <t>Imposto</t>
  </si>
  <si>
    <t>Tabela de Imposto</t>
  </si>
  <si>
    <t>Vendedor</t>
  </si>
  <si>
    <t>Bruno</t>
  </si>
  <si>
    <t>Lucas</t>
  </si>
  <si>
    <t>Bruna</t>
  </si>
  <si>
    <t>Luiza</t>
  </si>
  <si>
    <t>Camila</t>
  </si>
  <si>
    <t>Flavia</t>
  </si>
  <si>
    <t>Luciano</t>
  </si>
  <si>
    <t>Claudia</t>
  </si>
  <si>
    <t>Renata</t>
  </si>
  <si>
    <t>Mariana</t>
  </si>
  <si>
    <t>Mario</t>
  </si>
  <si>
    <t>Helena</t>
  </si>
  <si>
    <t>Viviane</t>
  </si>
  <si>
    <t>Rebeca</t>
  </si>
  <si>
    <t>Diego</t>
  </si>
  <si>
    <t>Bônus</t>
  </si>
  <si>
    <t>Faturado</t>
  </si>
  <si>
    <t>Salário</t>
  </si>
  <si>
    <t>Classificação (Faturado)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</si>
</sst>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&quot;R$&quot;#,##0"/>
    <numFmt numFmtId="165" formatCode="_-&quot;R$&quot;\ * #,##0_-;\-&quot;R$&quot;\ * #,##0_-;_-&quot;R$&quot;\ * &quot;-&quot;??_-;_-@_-"/>
    <numFmt numFmtId="166" formatCode="&quot;R$&quot;\ #,##0.00"/>
    <numFmt numFmtId="167" formatCode="&quot;R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3" borderId="0" xfId="0" applyFont="1" applyFill="1" applyBorder="1" applyAlignment="1">
      <alignment horizontal="left"/>
    </xf>
    <xf numFmtId="0" fontId="0" fillId="0" borderId="0" xfId="0" applyFont="1"/>
    <xf numFmtId="0" fontId="0" fillId="0" borderId="0" xfId="0" applyFont="1" applyBorder="1" applyAlignment="1">
      <alignment horizontal="left"/>
    </xf>
    <xf numFmtId="164" fontId="0" fillId="0" borderId="0" xfId="0" applyNumberFormat="1" applyFont="1" applyBorder="1" applyAlignment="1">
      <alignment horizontal="left"/>
    </xf>
    <xf numFmtId="0" fontId="0" fillId="2" borderId="0" xfId="0" applyFont="1" applyFill="1" applyBorder="1" applyAlignment="1">
      <alignment horizontal="left"/>
    </xf>
    <xf numFmtId="165" fontId="1" fillId="0" borderId="0" xfId="1" applyNumberFormat="1" applyFont="1" applyBorder="1" applyAlignment="1">
      <alignment horizontal="left"/>
    </xf>
    <xf numFmtId="0" fontId="3" fillId="3" borderId="0" xfId="0" applyFont="1" applyFill="1" applyAlignment="1">
      <alignment horizontal="center"/>
    </xf>
    <xf numFmtId="0" fontId="0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ont="1" applyFill="1" applyAlignment="1">
      <alignment horizontal="left"/>
    </xf>
    <xf numFmtId="166" fontId="0" fillId="0" borderId="0" xfId="0" applyNumberFormat="1" applyFont="1" applyAlignment="1">
      <alignment horizontal="left"/>
    </xf>
    <xf numFmtId="0" fontId="0" fillId="0" borderId="1" xfId="0" applyFont="1" applyBorder="1" applyAlignment="1">
      <alignment horizontal="left"/>
    </xf>
    <xf numFmtId="9" fontId="0" fillId="0" borderId="1" xfId="0" applyNumberFormat="1" applyFont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0" fillId="0" borderId="0" xfId="0" applyAlignment="1">
      <alignment horizontal="left"/>
    </xf>
    <xf numFmtId="9" fontId="0" fillId="0" borderId="1" xfId="0" applyNumberForma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3" fillId="3" borderId="0" xfId="0" applyFont="1" applyFill="1" applyAlignment="1"/>
    <xf numFmtId="166" fontId="0" fillId="0" borderId="0" xfId="0" applyNumberFormat="1" applyFont="1" applyAlignment="1"/>
    <xf numFmtId="0" fontId="0" fillId="0" borderId="0" xfId="0" applyFont="1" applyAlignment="1"/>
    <xf numFmtId="167" fontId="0" fillId="7" borderId="2" xfId="0" applyNumberFormat="1" applyFont="1" applyFill="1" applyBorder="1" applyAlignment="1">
      <alignment horizontal="left"/>
    </xf>
    <xf numFmtId="167" fontId="0" fillId="0" borderId="2" xfId="0" applyNumberFormat="1" applyFont="1" applyBorder="1" applyAlignment="1">
      <alignment horizontal="left"/>
    </xf>
    <xf numFmtId="0" fontId="0" fillId="7" borderId="2" xfId="0" applyFont="1" applyFill="1" applyBorder="1" applyAlignment="1">
      <alignment horizontal="left"/>
    </xf>
    <xf numFmtId="0" fontId="0" fillId="0" borderId="2" xfId="0" applyFont="1" applyBorder="1" applyAlignment="1">
      <alignment horizontal="left"/>
    </xf>
    <xf numFmtId="0" fontId="5" fillId="6" borderId="0" xfId="0" applyFont="1" applyFill="1" applyBorder="1" applyAlignment="1">
      <alignment horizontal="left"/>
    </xf>
    <xf numFmtId="167" fontId="5" fillId="6" borderId="0" xfId="0" applyNumberFormat="1" applyFont="1" applyFill="1" applyBorder="1" applyAlignment="1">
      <alignment horizontal="left"/>
    </xf>
    <xf numFmtId="167" fontId="0" fillId="0" borderId="0" xfId="0" applyNumberFormat="1" applyAlignment="1">
      <alignment horizontal="left"/>
    </xf>
    <xf numFmtId="10" fontId="5" fillId="6" borderId="0" xfId="0" applyNumberFormat="1" applyFont="1" applyFill="1" applyBorder="1" applyAlignment="1">
      <alignment horizontal="left"/>
    </xf>
    <xf numFmtId="10" fontId="0" fillId="7" borderId="2" xfId="4" applyNumberFormat="1" applyFont="1" applyFill="1" applyBorder="1" applyAlignment="1">
      <alignment horizontal="left"/>
    </xf>
    <xf numFmtId="10" fontId="0" fillId="0" borderId="2" xfId="4" applyNumberFormat="1" applyFont="1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5" borderId="1" xfId="0" applyFont="1" applyFill="1" applyBorder="1" applyAlignment="1">
      <alignment horizontal="center"/>
    </xf>
  </cellXfs>
  <cellStyles count="5">
    <cellStyle name="Cancel 14" xfId="3" xr:uid="{CBF31453-4DDC-45BF-AC7E-30D18DBD75F7}"/>
    <cellStyle name="Cancel 2" xfId="2" xr:uid="{695E2071-E881-4E1B-A61B-A684CC0FFFFB}"/>
    <cellStyle name="Moeda" xfId="1" builtinId="4"/>
    <cellStyle name="Normal" xfId="0" builtinId="0"/>
    <cellStyle name="Porcentagem" xfId="4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R$&quot;\ #,##0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R$&quot;\ #,##0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4E3F9D-3F45-4A1E-AE53-8E319ECF5FAF}" name="Tabela2" displayName="Tabela2" ref="A1:D16" totalsRowShown="0" headerRowDxfId="6" dataDxfId="5" tableBorderDxfId="4">
  <autoFilter ref="A1:D16" xr:uid="{6F4E3F9D-3F45-4A1E-AE53-8E319ECF5FAF}"/>
  <tableColumns count="4">
    <tableColumn id="1" xr3:uid="{D801CA54-D910-4E4A-BDC6-FA3B03D4D0B9}" name="Vendedor" dataDxfId="3"/>
    <tableColumn id="2" xr3:uid="{A4CB21AD-F60D-4EA3-8242-0EB9FD4F29A3}" name="Faturado" dataDxfId="2"/>
    <tableColumn id="3" xr3:uid="{BBAE7579-7F82-4A56-B2BB-76B78C389B28}" name="Bônus" dataDxfId="1" dataCellStyle="Porcentagem">
      <calculatedColumnFormula>IF(Tabela2[[#This Row],[Faturado]]&lt;=$H$3,$I$3,IF(Tabela2[[#This Row],[Faturado]]&lt;=$H$4,$I$4,IF(Tabela2[[#This Row],[Faturado]]&lt;=$H$5,$I$5,IF(Tabela2[[#This Row],[Faturado]]&lt;=$H$6,$I$6,$I$7))))</calculatedColumnFormula>
    </tableColumn>
    <tableColumn id="4" xr3:uid="{4B10A2AF-FE30-4EDA-9D5D-54934374247A}" name="Salário" dataDxfId="0">
      <calculatedColumnFormula>Tabela2[[#This Row],[Faturado]]*Tabela2[[#This Row],[Bônus]]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F048-41B8-465E-8ECB-BABA18201A44}">
  <dimension ref="A1:H401"/>
  <sheetViews>
    <sheetView showGridLines="0" zoomScale="120" zoomScaleNormal="120" workbookViewId="0">
      <selection activeCell="K14" sqref="K14"/>
    </sheetView>
  </sheetViews>
  <sheetFormatPr defaultColWidth="8.85546875" defaultRowHeight="15" x14ac:dyDescent="0.25"/>
  <cols>
    <col min="1" max="3" width="15.42578125" style="1" customWidth="1"/>
    <col min="4" max="4" width="15.42578125" style="24" customWidth="1"/>
    <col min="5" max="5" width="8.85546875" style="4"/>
    <col min="6" max="6" width="13" style="4" customWidth="1"/>
    <col min="7" max="8" width="13.5703125" style="4" customWidth="1"/>
    <col min="9" max="16384" width="8.85546875" style="4"/>
  </cols>
  <sheetData>
    <row r="1" spans="1:8" x14ac:dyDescent="0.25">
      <c r="A1" s="2" t="s">
        <v>331</v>
      </c>
      <c r="B1" s="2" t="s">
        <v>333</v>
      </c>
      <c r="C1" s="2" t="s">
        <v>334</v>
      </c>
      <c r="D1" s="22" t="s">
        <v>739</v>
      </c>
      <c r="G1" s="16" t="s">
        <v>740</v>
      </c>
      <c r="H1" s="17"/>
    </row>
    <row r="2" spans="1:8" x14ac:dyDescent="0.25">
      <c r="A2" s="1" t="s">
        <v>335</v>
      </c>
      <c r="B2" s="1" t="s">
        <v>735</v>
      </c>
      <c r="C2" s="13">
        <v>345000</v>
      </c>
      <c r="D2" s="23">
        <f>IF(B2=$G$2,C2*$H$2,IF(B2=$G$3,C2*$H$3,IF(B2=$G$4,C2*$H$4,C2*$H$5)))</f>
        <v>172500</v>
      </c>
      <c r="G2" s="14" t="s">
        <v>735</v>
      </c>
      <c r="H2" s="15">
        <v>0.5</v>
      </c>
    </row>
    <row r="3" spans="1:8" x14ac:dyDescent="0.25">
      <c r="A3" s="1" t="s">
        <v>336</v>
      </c>
      <c r="B3" s="1" t="s">
        <v>735</v>
      </c>
      <c r="C3" s="13">
        <v>163000</v>
      </c>
      <c r="D3" s="23">
        <f t="shared" ref="D3:D66" si="0">IF(B3=$G$2,C3*$H$2,IF(B3=$G$3,C3*$H$3,IF(B3=$G$4,C3*$H$4,C3*$H$5)))</f>
        <v>81500</v>
      </c>
      <c r="G3" s="14" t="s">
        <v>736</v>
      </c>
      <c r="H3" s="15">
        <v>0.25</v>
      </c>
    </row>
    <row r="4" spans="1:8" x14ac:dyDescent="0.25">
      <c r="A4" s="1" t="s">
        <v>337</v>
      </c>
      <c r="B4" s="1" t="s">
        <v>736</v>
      </c>
      <c r="C4" s="13">
        <v>152000</v>
      </c>
      <c r="D4" s="23">
        <f t="shared" si="0"/>
        <v>38000</v>
      </c>
      <c r="G4" s="14" t="s">
        <v>737</v>
      </c>
      <c r="H4" s="15">
        <v>0.1</v>
      </c>
    </row>
    <row r="5" spans="1:8" x14ac:dyDescent="0.25">
      <c r="A5" s="1" t="s">
        <v>338</v>
      </c>
      <c r="B5" s="1" t="s">
        <v>735</v>
      </c>
      <c r="C5" s="13">
        <v>429000</v>
      </c>
      <c r="D5" s="23">
        <f t="shared" si="0"/>
        <v>214500</v>
      </c>
      <c r="G5" s="14" t="s">
        <v>738</v>
      </c>
      <c r="H5" s="15">
        <v>0.05</v>
      </c>
    </row>
    <row r="6" spans="1:8" x14ac:dyDescent="0.25">
      <c r="A6" s="1" t="s">
        <v>339</v>
      </c>
      <c r="B6" s="1" t="s">
        <v>738</v>
      </c>
      <c r="C6" s="13">
        <v>253000</v>
      </c>
      <c r="D6" s="23">
        <f t="shared" si="0"/>
        <v>12650</v>
      </c>
    </row>
    <row r="7" spans="1:8" x14ac:dyDescent="0.25">
      <c r="A7" s="1" t="s">
        <v>340</v>
      </c>
      <c r="B7" s="1" t="s">
        <v>735</v>
      </c>
      <c r="C7" s="13">
        <v>197000</v>
      </c>
      <c r="D7" s="23">
        <f t="shared" si="0"/>
        <v>98500</v>
      </c>
    </row>
    <row r="8" spans="1:8" x14ac:dyDescent="0.25">
      <c r="A8" s="1" t="s">
        <v>341</v>
      </c>
      <c r="B8" s="1" t="s">
        <v>737</v>
      </c>
      <c r="C8" s="13">
        <v>333000</v>
      </c>
      <c r="D8" s="23">
        <f t="shared" si="0"/>
        <v>33300</v>
      </c>
    </row>
    <row r="9" spans="1:8" x14ac:dyDescent="0.25">
      <c r="A9" s="1" t="s">
        <v>342</v>
      </c>
      <c r="B9" s="1" t="s">
        <v>738</v>
      </c>
      <c r="C9" s="13">
        <v>490000</v>
      </c>
      <c r="D9" s="23">
        <f t="shared" si="0"/>
        <v>24500</v>
      </c>
    </row>
    <row r="10" spans="1:8" x14ac:dyDescent="0.25">
      <c r="A10" s="1" t="s">
        <v>343</v>
      </c>
      <c r="B10" s="1" t="s">
        <v>736</v>
      </c>
      <c r="C10" s="13">
        <v>428000</v>
      </c>
      <c r="D10" s="23">
        <f t="shared" si="0"/>
        <v>107000</v>
      </c>
    </row>
    <row r="11" spans="1:8" x14ac:dyDescent="0.25">
      <c r="A11" s="1" t="s">
        <v>344</v>
      </c>
      <c r="B11" s="1" t="s">
        <v>738</v>
      </c>
      <c r="C11" s="13">
        <v>121000</v>
      </c>
      <c r="D11" s="23">
        <f t="shared" si="0"/>
        <v>6050</v>
      </c>
    </row>
    <row r="12" spans="1:8" x14ac:dyDescent="0.25">
      <c r="A12" s="1" t="s">
        <v>345</v>
      </c>
      <c r="B12" s="1" t="s">
        <v>735</v>
      </c>
      <c r="C12" s="13">
        <v>478000</v>
      </c>
      <c r="D12" s="23">
        <f t="shared" si="0"/>
        <v>239000</v>
      </c>
    </row>
    <row r="13" spans="1:8" x14ac:dyDescent="0.25">
      <c r="A13" s="1" t="s">
        <v>346</v>
      </c>
      <c r="B13" s="1" t="s">
        <v>737</v>
      </c>
      <c r="C13" s="13">
        <v>154000</v>
      </c>
      <c r="D13" s="23">
        <f t="shared" si="0"/>
        <v>15400</v>
      </c>
    </row>
    <row r="14" spans="1:8" x14ac:dyDescent="0.25">
      <c r="A14" s="1" t="s">
        <v>347</v>
      </c>
      <c r="B14" s="1" t="s">
        <v>736</v>
      </c>
      <c r="C14" s="13">
        <v>394000</v>
      </c>
      <c r="D14" s="23">
        <f t="shared" si="0"/>
        <v>98500</v>
      </c>
    </row>
    <row r="15" spans="1:8" x14ac:dyDescent="0.25">
      <c r="A15" s="1" t="s">
        <v>348</v>
      </c>
      <c r="B15" s="1" t="s">
        <v>738</v>
      </c>
      <c r="C15" s="13">
        <v>225000</v>
      </c>
      <c r="D15" s="23">
        <f t="shared" si="0"/>
        <v>11250</v>
      </c>
    </row>
    <row r="16" spans="1:8" x14ac:dyDescent="0.25">
      <c r="A16" s="1" t="s">
        <v>349</v>
      </c>
      <c r="B16" s="1" t="s">
        <v>736</v>
      </c>
      <c r="C16" s="13">
        <v>443000</v>
      </c>
      <c r="D16" s="23">
        <f t="shared" si="0"/>
        <v>110750</v>
      </c>
    </row>
    <row r="17" spans="1:4" x14ac:dyDescent="0.25">
      <c r="A17" s="1" t="s">
        <v>350</v>
      </c>
      <c r="B17" s="1" t="s">
        <v>737</v>
      </c>
      <c r="C17" s="13">
        <v>364000</v>
      </c>
      <c r="D17" s="23">
        <f t="shared" si="0"/>
        <v>36400</v>
      </c>
    </row>
    <row r="18" spans="1:4" x14ac:dyDescent="0.25">
      <c r="A18" s="1" t="s">
        <v>351</v>
      </c>
      <c r="B18" s="1" t="s">
        <v>736</v>
      </c>
      <c r="C18" s="13">
        <v>125000</v>
      </c>
      <c r="D18" s="23">
        <f t="shared" si="0"/>
        <v>31250</v>
      </c>
    </row>
    <row r="19" spans="1:4" x14ac:dyDescent="0.25">
      <c r="A19" s="1" t="s">
        <v>352</v>
      </c>
      <c r="B19" s="1" t="s">
        <v>735</v>
      </c>
      <c r="C19" s="13">
        <v>288000</v>
      </c>
      <c r="D19" s="23">
        <f t="shared" si="0"/>
        <v>144000</v>
      </c>
    </row>
    <row r="20" spans="1:4" x14ac:dyDescent="0.25">
      <c r="A20" s="1" t="s">
        <v>353</v>
      </c>
      <c r="B20" s="1" t="s">
        <v>736</v>
      </c>
      <c r="C20" s="13">
        <v>425000</v>
      </c>
      <c r="D20" s="23">
        <f t="shared" si="0"/>
        <v>106250</v>
      </c>
    </row>
    <row r="21" spans="1:4" x14ac:dyDescent="0.25">
      <c r="A21" s="1" t="s">
        <v>354</v>
      </c>
      <c r="B21" s="1" t="s">
        <v>736</v>
      </c>
      <c r="C21" s="13">
        <v>482000</v>
      </c>
      <c r="D21" s="23">
        <f t="shared" si="0"/>
        <v>120500</v>
      </c>
    </row>
    <row r="22" spans="1:4" x14ac:dyDescent="0.25">
      <c r="A22" s="1" t="s">
        <v>355</v>
      </c>
      <c r="B22" s="1" t="s">
        <v>736</v>
      </c>
      <c r="C22" s="13">
        <v>268000</v>
      </c>
      <c r="D22" s="23">
        <f t="shared" si="0"/>
        <v>67000</v>
      </c>
    </row>
    <row r="23" spans="1:4" x14ac:dyDescent="0.25">
      <c r="A23" s="1" t="s">
        <v>356</v>
      </c>
      <c r="B23" s="1" t="s">
        <v>737</v>
      </c>
      <c r="C23" s="13">
        <v>463000</v>
      </c>
      <c r="D23" s="23">
        <f t="shared" si="0"/>
        <v>46300</v>
      </c>
    </row>
    <row r="24" spans="1:4" x14ac:dyDescent="0.25">
      <c r="A24" s="1" t="s">
        <v>357</v>
      </c>
      <c r="B24" s="1" t="s">
        <v>735</v>
      </c>
      <c r="C24" s="13">
        <v>234000</v>
      </c>
      <c r="D24" s="23">
        <f t="shared" si="0"/>
        <v>117000</v>
      </c>
    </row>
    <row r="25" spans="1:4" x14ac:dyDescent="0.25">
      <c r="A25" s="1" t="s">
        <v>358</v>
      </c>
      <c r="B25" s="1" t="s">
        <v>736</v>
      </c>
      <c r="C25" s="13">
        <v>199000</v>
      </c>
      <c r="D25" s="23">
        <f t="shared" si="0"/>
        <v>49750</v>
      </c>
    </row>
    <row r="26" spans="1:4" x14ac:dyDescent="0.25">
      <c r="A26" s="1" t="s">
        <v>359</v>
      </c>
      <c r="B26" s="1" t="s">
        <v>738</v>
      </c>
      <c r="C26" s="13">
        <v>349000</v>
      </c>
      <c r="D26" s="23">
        <f t="shared" si="0"/>
        <v>17450</v>
      </c>
    </row>
    <row r="27" spans="1:4" x14ac:dyDescent="0.25">
      <c r="A27" s="1" t="s">
        <v>360</v>
      </c>
      <c r="B27" s="1" t="s">
        <v>736</v>
      </c>
      <c r="C27" s="13">
        <v>277000</v>
      </c>
      <c r="D27" s="23">
        <f t="shared" si="0"/>
        <v>69250</v>
      </c>
    </row>
    <row r="28" spans="1:4" x14ac:dyDescent="0.25">
      <c r="A28" s="1" t="s">
        <v>361</v>
      </c>
      <c r="B28" s="1" t="s">
        <v>738</v>
      </c>
      <c r="C28" s="13">
        <v>148000</v>
      </c>
      <c r="D28" s="23">
        <f t="shared" si="0"/>
        <v>7400</v>
      </c>
    </row>
    <row r="29" spans="1:4" x14ac:dyDescent="0.25">
      <c r="A29" s="1" t="s">
        <v>362</v>
      </c>
      <c r="B29" s="1" t="s">
        <v>737</v>
      </c>
      <c r="C29" s="13">
        <v>279000</v>
      </c>
      <c r="D29" s="23">
        <f t="shared" si="0"/>
        <v>27900</v>
      </c>
    </row>
    <row r="30" spans="1:4" x14ac:dyDescent="0.25">
      <c r="A30" s="1" t="s">
        <v>363</v>
      </c>
      <c r="B30" s="1" t="s">
        <v>737</v>
      </c>
      <c r="C30" s="13">
        <v>283000</v>
      </c>
      <c r="D30" s="23">
        <f t="shared" si="0"/>
        <v>28300</v>
      </c>
    </row>
    <row r="31" spans="1:4" x14ac:dyDescent="0.25">
      <c r="A31" s="1" t="s">
        <v>364</v>
      </c>
      <c r="B31" s="1" t="s">
        <v>737</v>
      </c>
      <c r="C31" s="13">
        <v>167000</v>
      </c>
      <c r="D31" s="23">
        <f t="shared" si="0"/>
        <v>16700</v>
      </c>
    </row>
    <row r="32" spans="1:4" x14ac:dyDescent="0.25">
      <c r="A32" s="1" t="s">
        <v>365</v>
      </c>
      <c r="B32" s="1" t="s">
        <v>736</v>
      </c>
      <c r="C32" s="13">
        <v>202000</v>
      </c>
      <c r="D32" s="23">
        <f t="shared" si="0"/>
        <v>50500</v>
      </c>
    </row>
    <row r="33" spans="1:4" x14ac:dyDescent="0.25">
      <c r="A33" s="1" t="s">
        <v>366</v>
      </c>
      <c r="B33" s="1" t="s">
        <v>737</v>
      </c>
      <c r="C33" s="13">
        <v>286000</v>
      </c>
      <c r="D33" s="23">
        <f t="shared" si="0"/>
        <v>28600</v>
      </c>
    </row>
    <row r="34" spans="1:4" x14ac:dyDescent="0.25">
      <c r="A34" s="1" t="s">
        <v>367</v>
      </c>
      <c r="B34" s="1" t="s">
        <v>738</v>
      </c>
      <c r="C34" s="13">
        <v>391000</v>
      </c>
      <c r="D34" s="23">
        <f t="shared" si="0"/>
        <v>19550</v>
      </c>
    </row>
    <row r="35" spans="1:4" x14ac:dyDescent="0.25">
      <c r="A35" s="1" t="s">
        <v>368</v>
      </c>
      <c r="B35" s="1" t="s">
        <v>735</v>
      </c>
      <c r="C35" s="13">
        <v>103000</v>
      </c>
      <c r="D35" s="23">
        <f t="shared" si="0"/>
        <v>51500</v>
      </c>
    </row>
    <row r="36" spans="1:4" x14ac:dyDescent="0.25">
      <c r="A36" s="1" t="s">
        <v>369</v>
      </c>
      <c r="B36" s="1" t="s">
        <v>738</v>
      </c>
      <c r="C36" s="13">
        <v>495000</v>
      </c>
      <c r="D36" s="23">
        <f t="shared" si="0"/>
        <v>24750</v>
      </c>
    </row>
    <row r="37" spans="1:4" x14ac:dyDescent="0.25">
      <c r="A37" s="1" t="s">
        <v>370</v>
      </c>
      <c r="B37" s="1" t="s">
        <v>736</v>
      </c>
      <c r="C37" s="13">
        <v>172000</v>
      </c>
      <c r="D37" s="23">
        <f t="shared" si="0"/>
        <v>43000</v>
      </c>
    </row>
    <row r="38" spans="1:4" x14ac:dyDescent="0.25">
      <c r="A38" s="1" t="s">
        <v>371</v>
      </c>
      <c r="B38" s="1" t="s">
        <v>736</v>
      </c>
      <c r="C38" s="13">
        <v>492000</v>
      </c>
      <c r="D38" s="23">
        <f t="shared" si="0"/>
        <v>123000</v>
      </c>
    </row>
    <row r="39" spans="1:4" x14ac:dyDescent="0.25">
      <c r="A39" s="1" t="s">
        <v>372</v>
      </c>
      <c r="B39" s="1" t="s">
        <v>738</v>
      </c>
      <c r="C39" s="13">
        <v>147000</v>
      </c>
      <c r="D39" s="23">
        <f t="shared" si="0"/>
        <v>7350</v>
      </c>
    </row>
    <row r="40" spans="1:4" x14ac:dyDescent="0.25">
      <c r="A40" s="1" t="s">
        <v>373</v>
      </c>
      <c r="B40" s="1" t="s">
        <v>738</v>
      </c>
      <c r="C40" s="13">
        <v>142000</v>
      </c>
      <c r="D40" s="23">
        <f t="shared" si="0"/>
        <v>7100</v>
      </c>
    </row>
    <row r="41" spans="1:4" x14ac:dyDescent="0.25">
      <c r="A41" s="1" t="s">
        <v>374</v>
      </c>
      <c r="B41" s="1" t="s">
        <v>736</v>
      </c>
      <c r="C41" s="13">
        <v>205000</v>
      </c>
      <c r="D41" s="23">
        <f t="shared" si="0"/>
        <v>51250</v>
      </c>
    </row>
    <row r="42" spans="1:4" x14ac:dyDescent="0.25">
      <c r="A42" s="1" t="s">
        <v>375</v>
      </c>
      <c r="B42" s="1" t="s">
        <v>737</v>
      </c>
      <c r="C42" s="13">
        <v>318000</v>
      </c>
      <c r="D42" s="23">
        <f t="shared" si="0"/>
        <v>31800</v>
      </c>
    </row>
    <row r="43" spans="1:4" x14ac:dyDescent="0.25">
      <c r="A43" s="1" t="s">
        <v>376</v>
      </c>
      <c r="B43" s="1" t="s">
        <v>738</v>
      </c>
      <c r="C43" s="13">
        <v>412000</v>
      </c>
      <c r="D43" s="23">
        <f t="shared" si="0"/>
        <v>20600</v>
      </c>
    </row>
    <row r="44" spans="1:4" x14ac:dyDescent="0.25">
      <c r="A44" s="1" t="s">
        <v>377</v>
      </c>
      <c r="B44" s="1" t="s">
        <v>735</v>
      </c>
      <c r="C44" s="13">
        <v>374000</v>
      </c>
      <c r="D44" s="23">
        <f t="shared" si="0"/>
        <v>187000</v>
      </c>
    </row>
    <row r="45" spans="1:4" x14ac:dyDescent="0.25">
      <c r="A45" s="1" t="s">
        <v>378</v>
      </c>
      <c r="B45" s="1" t="s">
        <v>738</v>
      </c>
      <c r="C45" s="13">
        <v>308000</v>
      </c>
      <c r="D45" s="23">
        <f t="shared" si="0"/>
        <v>15400</v>
      </c>
    </row>
    <row r="46" spans="1:4" x14ac:dyDescent="0.25">
      <c r="A46" s="1" t="s">
        <v>379</v>
      </c>
      <c r="B46" s="1" t="s">
        <v>736</v>
      </c>
      <c r="C46" s="13">
        <v>488000</v>
      </c>
      <c r="D46" s="23">
        <f t="shared" si="0"/>
        <v>122000</v>
      </c>
    </row>
    <row r="47" spans="1:4" x14ac:dyDescent="0.25">
      <c r="A47" s="1" t="s">
        <v>380</v>
      </c>
      <c r="B47" s="1" t="s">
        <v>736</v>
      </c>
      <c r="C47" s="13">
        <v>396000</v>
      </c>
      <c r="D47" s="23">
        <f t="shared" si="0"/>
        <v>99000</v>
      </c>
    </row>
    <row r="48" spans="1:4" x14ac:dyDescent="0.25">
      <c r="A48" s="1" t="s">
        <v>381</v>
      </c>
      <c r="B48" s="1" t="s">
        <v>736</v>
      </c>
      <c r="C48" s="13">
        <v>404000</v>
      </c>
      <c r="D48" s="23">
        <f t="shared" si="0"/>
        <v>101000</v>
      </c>
    </row>
    <row r="49" spans="1:4" x14ac:dyDescent="0.25">
      <c r="A49" s="1" t="s">
        <v>382</v>
      </c>
      <c r="B49" s="1" t="s">
        <v>738</v>
      </c>
      <c r="C49" s="13">
        <v>294000</v>
      </c>
      <c r="D49" s="23">
        <f t="shared" si="0"/>
        <v>14700</v>
      </c>
    </row>
    <row r="50" spans="1:4" x14ac:dyDescent="0.25">
      <c r="A50" s="1" t="s">
        <v>383</v>
      </c>
      <c r="B50" s="1" t="s">
        <v>737</v>
      </c>
      <c r="C50" s="13">
        <v>108000</v>
      </c>
      <c r="D50" s="23">
        <f t="shared" si="0"/>
        <v>10800</v>
      </c>
    </row>
    <row r="51" spans="1:4" x14ac:dyDescent="0.25">
      <c r="A51" s="1" t="s">
        <v>384</v>
      </c>
      <c r="B51" s="1" t="s">
        <v>736</v>
      </c>
      <c r="C51" s="13">
        <v>319000</v>
      </c>
      <c r="D51" s="23">
        <f t="shared" si="0"/>
        <v>79750</v>
      </c>
    </row>
    <row r="52" spans="1:4" x14ac:dyDescent="0.25">
      <c r="A52" s="1" t="s">
        <v>385</v>
      </c>
      <c r="B52" s="1" t="s">
        <v>737</v>
      </c>
      <c r="C52" s="13">
        <v>434000</v>
      </c>
      <c r="D52" s="23">
        <f t="shared" si="0"/>
        <v>43400</v>
      </c>
    </row>
    <row r="53" spans="1:4" x14ac:dyDescent="0.25">
      <c r="A53" s="1" t="s">
        <v>386</v>
      </c>
      <c r="B53" s="1" t="s">
        <v>737</v>
      </c>
      <c r="C53" s="13">
        <v>330000</v>
      </c>
      <c r="D53" s="23">
        <f t="shared" si="0"/>
        <v>33000</v>
      </c>
    </row>
    <row r="54" spans="1:4" x14ac:dyDescent="0.25">
      <c r="A54" s="1" t="s">
        <v>387</v>
      </c>
      <c r="B54" s="1" t="s">
        <v>737</v>
      </c>
      <c r="C54" s="13">
        <v>361000</v>
      </c>
      <c r="D54" s="23">
        <f t="shared" si="0"/>
        <v>36100</v>
      </c>
    </row>
    <row r="55" spans="1:4" x14ac:dyDescent="0.25">
      <c r="A55" s="1" t="s">
        <v>388</v>
      </c>
      <c r="B55" s="1" t="s">
        <v>735</v>
      </c>
      <c r="C55" s="13">
        <v>347000</v>
      </c>
      <c r="D55" s="23">
        <f t="shared" si="0"/>
        <v>173500</v>
      </c>
    </row>
    <row r="56" spans="1:4" x14ac:dyDescent="0.25">
      <c r="A56" s="1" t="s">
        <v>389</v>
      </c>
      <c r="B56" s="1" t="s">
        <v>737</v>
      </c>
      <c r="C56" s="13">
        <v>388000</v>
      </c>
      <c r="D56" s="23">
        <f t="shared" si="0"/>
        <v>38800</v>
      </c>
    </row>
    <row r="57" spans="1:4" x14ac:dyDescent="0.25">
      <c r="A57" s="1" t="s">
        <v>390</v>
      </c>
      <c r="B57" s="1" t="s">
        <v>735</v>
      </c>
      <c r="C57" s="13">
        <v>459000</v>
      </c>
      <c r="D57" s="23">
        <f t="shared" si="0"/>
        <v>229500</v>
      </c>
    </row>
    <row r="58" spans="1:4" x14ac:dyDescent="0.25">
      <c r="A58" s="1" t="s">
        <v>391</v>
      </c>
      <c r="B58" s="1" t="s">
        <v>738</v>
      </c>
      <c r="C58" s="13">
        <v>123000</v>
      </c>
      <c r="D58" s="23">
        <f t="shared" si="0"/>
        <v>6150</v>
      </c>
    </row>
    <row r="59" spans="1:4" x14ac:dyDescent="0.25">
      <c r="A59" s="1" t="s">
        <v>392</v>
      </c>
      <c r="B59" s="1" t="s">
        <v>736</v>
      </c>
      <c r="C59" s="13">
        <v>351000</v>
      </c>
      <c r="D59" s="23">
        <f t="shared" si="0"/>
        <v>87750</v>
      </c>
    </row>
    <row r="60" spans="1:4" x14ac:dyDescent="0.25">
      <c r="A60" s="1" t="s">
        <v>393</v>
      </c>
      <c r="B60" s="1" t="s">
        <v>738</v>
      </c>
      <c r="C60" s="13">
        <v>305000</v>
      </c>
      <c r="D60" s="23">
        <f t="shared" si="0"/>
        <v>15250</v>
      </c>
    </row>
    <row r="61" spans="1:4" x14ac:dyDescent="0.25">
      <c r="A61" s="1" t="s">
        <v>394</v>
      </c>
      <c r="B61" s="1" t="s">
        <v>738</v>
      </c>
      <c r="C61" s="13">
        <v>195000</v>
      </c>
      <c r="D61" s="23">
        <f t="shared" si="0"/>
        <v>9750</v>
      </c>
    </row>
    <row r="62" spans="1:4" x14ac:dyDescent="0.25">
      <c r="A62" s="1" t="s">
        <v>395</v>
      </c>
      <c r="B62" s="1" t="s">
        <v>736</v>
      </c>
      <c r="C62" s="13">
        <v>486000</v>
      </c>
      <c r="D62" s="23">
        <f t="shared" si="0"/>
        <v>121500</v>
      </c>
    </row>
    <row r="63" spans="1:4" x14ac:dyDescent="0.25">
      <c r="A63" s="1" t="s">
        <v>396</v>
      </c>
      <c r="B63" s="1" t="s">
        <v>737</v>
      </c>
      <c r="C63" s="13">
        <v>336000</v>
      </c>
      <c r="D63" s="23">
        <f t="shared" si="0"/>
        <v>33600</v>
      </c>
    </row>
    <row r="64" spans="1:4" x14ac:dyDescent="0.25">
      <c r="A64" s="1" t="s">
        <v>397</v>
      </c>
      <c r="B64" s="1" t="s">
        <v>736</v>
      </c>
      <c r="C64" s="13">
        <v>491000</v>
      </c>
      <c r="D64" s="23">
        <f t="shared" si="0"/>
        <v>122750</v>
      </c>
    </row>
    <row r="65" spans="1:4" x14ac:dyDescent="0.25">
      <c r="A65" s="1" t="s">
        <v>398</v>
      </c>
      <c r="B65" s="1" t="s">
        <v>735</v>
      </c>
      <c r="C65" s="13">
        <v>380000</v>
      </c>
      <c r="D65" s="23">
        <f t="shared" si="0"/>
        <v>190000</v>
      </c>
    </row>
    <row r="66" spans="1:4" x14ac:dyDescent="0.25">
      <c r="A66" s="1" t="s">
        <v>399</v>
      </c>
      <c r="B66" s="1" t="s">
        <v>737</v>
      </c>
      <c r="C66" s="13">
        <v>256000</v>
      </c>
      <c r="D66" s="23">
        <f t="shared" si="0"/>
        <v>25600</v>
      </c>
    </row>
    <row r="67" spans="1:4" x14ac:dyDescent="0.25">
      <c r="A67" s="1" t="s">
        <v>400</v>
      </c>
      <c r="B67" s="1" t="s">
        <v>737</v>
      </c>
      <c r="C67" s="13">
        <v>300000</v>
      </c>
      <c r="D67" s="23">
        <f t="shared" ref="D67:D130" si="1">IF(B67=$G$2,C67*$H$2,IF(B67=$G$3,C67*$H$3,IF(B67=$G$4,C67*$H$4,C67*$H$5)))</f>
        <v>30000</v>
      </c>
    </row>
    <row r="68" spans="1:4" x14ac:dyDescent="0.25">
      <c r="A68" s="1" t="s">
        <v>401</v>
      </c>
      <c r="B68" s="1" t="s">
        <v>735</v>
      </c>
      <c r="C68" s="13">
        <v>375000</v>
      </c>
      <c r="D68" s="23">
        <f t="shared" si="1"/>
        <v>187500</v>
      </c>
    </row>
    <row r="69" spans="1:4" x14ac:dyDescent="0.25">
      <c r="A69" s="1" t="s">
        <v>402</v>
      </c>
      <c r="B69" s="1" t="s">
        <v>735</v>
      </c>
      <c r="C69" s="13">
        <v>430000</v>
      </c>
      <c r="D69" s="23">
        <f t="shared" si="1"/>
        <v>215000</v>
      </c>
    </row>
    <row r="70" spans="1:4" x14ac:dyDescent="0.25">
      <c r="A70" s="1" t="s">
        <v>403</v>
      </c>
      <c r="B70" s="1" t="s">
        <v>738</v>
      </c>
      <c r="C70" s="13">
        <v>420000</v>
      </c>
      <c r="D70" s="23">
        <f t="shared" si="1"/>
        <v>21000</v>
      </c>
    </row>
    <row r="71" spans="1:4" x14ac:dyDescent="0.25">
      <c r="A71" s="1" t="s">
        <v>404</v>
      </c>
      <c r="B71" s="1" t="s">
        <v>737</v>
      </c>
      <c r="C71" s="13">
        <v>125000</v>
      </c>
      <c r="D71" s="23">
        <f t="shared" si="1"/>
        <v>12500</v>
      </c>
    </row>
    <row r="72" spans="1:4" x14ac:dyDescent="0.25">
      <c r="A72" s="1" t="s">
        <v>405</v>
      </c>
      <c r="B72" s="1" t="s">
        <v>736</v>
      </c>
      <c r="C72" s="13">
        <v>395000</v>
      </c>
      <c r="D72" s="23">
        <f t="shared" si="1"/>
        <v>98750</v>
      </c>
    </row>
    <row r="73" spans="1:4" x14ac:dyDescent="0.25">
      <c r="A73" s="1" t="s">
        <v>406</v>
      </c>
      <c r="B73" s="1" t="s">
        <v>737</v>
      </c>
      <c r="C73" s="13">
        <v>235000</v>
      </c>
      <c r="D73" s="23">
        <f t="shared" si="1"/>
        <v>23500</v>
      </c>
    </row>
    <row r="74" spans="1:4" x14ac:dyDescent="0.25">
      <c r="A74" s="1" t="s">
        <v>407</v>
      </c>
      <c r="B74" s="1" t="s">
        <v>737</v>
      </c>
      <c r="C74" s="13">
        <v>323000</v>
      </c>
      <c r="D74" s="23">
        <f t="shared" si="1"/>
        <v>32300</v>
      </c>
    </row>
    <row r="75" spans="1:4" x14ac:dyDescent="0.25">
      <c r="A75" s="1" t="s">
        <v>408</v>
      </c>
      <c r="B75" s="1" t="s">
        <v>737</v>
      </c>
      <c r="C75" s="13">
        <v>431000</v>
      </c>
      <c r="D75" s="23">
        <f t="shared" si="1"/>
        <v>43100</v>
      </c>
    </row>
    <row r="76" spans="1:4" x14ac:dyDescent="0.25">
      <c r="A76" s="1" t="s">
        <v>409</v>
      </c>
      <c r="B76" s="1" t="s">
        <v>738</v>
      </c>
      <c r="C76" s="13">
        <v>364000</v>
      </c>
      <c r="D76" s="23">
        <f t="shared" si="1"/>
        <v>18200</v>
      </c>
    </row>
    <row r="77" spans="1:4" x14ac:dyDescent="0.25">
      <c r="A77" s="1" t="s">
        <v>410</v>
      </c>
      <c r="B77" s="1" t="s">
        <v>736</v>
      </c>
      <c r="C77" s="13">
        <v>390000</v>
      </c>
      <c r="D77" s="23">
        <f t="shared" si="1"/>
        <v>97500</v>
      </c>
    </row>
    <row r="78" spans="1:4" x14ac:dyDescent="0.25">
      <c r="A78" s="1" t="s">
        <v>411</v>
      </c>
      <c r="B78" s="1" t="s">
        <v>735</v>
      </c>
      <c r="C78" s="13">
        <v>241000</v>
      </c>
      <c r="D78" s="23">
        <f t="shared" si="1"/>
        <v>120500</v>
      </c>
    </row>
    <row r="79" spans="1:4" x14ac:dyDescent="0.25">
      <c r="A79" s="1" t="s">
        <v>412</v>
      </c>
      <c r="B79" s="1" t="s">
        <v>738</v>
      </c>
      <c r="C79" s="13">
        <v>460000</v>
      </c>
      <c r="D79" s="23">
        <f t="shared" si="1"/>
        <v>23000</v>
      </c>
    </row>
    <row r="80" spans="1:4" x14ac:dyDescent="0.25">
      <c r="A80" s="1" t="s">
        <v>413</v>
      </c>
      <c r="B80" s="1" t="s">
        <v>738</v>
      </c>
      <c r="C80" s="13">
        <v>216000</v>
      </c>
      <c r="D80" s="23">
        <f t="shared" si="1"/>
        <v>10800</v>
      </c>
    </row>
    <row r="81" spans="1:4" x14ac:dyDescent="0.25">
      <c r="A81" s="1" t="s">
        <v>414</v>
      </c>
      <c r="B81" s="1" t="s">
        <v>737</v>
      </c>
      <c r="C81" s="13">
        <v>231000</v>
      </c>
      <c r="D81" s="23">
        <f t="shared" si="1"/>
        <v>23100</v>
      </c>
    </row>
    <row r="82" spans="1:4" x14ac:dyDescent="0.25">
      <c r="A82" s="1" t="s">
        <v>415</v>
      </c>
      <c r="B82" s="1" t="s">
        <v>736</v>
      </c>
      <c r="C82" s="13">
        <v>107000</v>
      </c>
      <c r="D82" s="23">
        <f t="shared" si="1"/>
        <v>26750</v>
      </c>
    </row>
    <row r="83" spans="1:4" x14ac:dyDescent="0.25">
      <c r="A83" s="1" t="s">
        <v>416</v>
      </c>
      <c r="B83" s="1" t="s">
        <v>735</v>
      </c>
      <c r="C83" s="13">
        <v>297000</v>
      </c>
      <c r="D83" s="23">
        <f t="shared" si="1"/>
        <v>148500</v>
      </c>
    </row>
    <row r="84" spans="1:4" x14ac:dyDescent="0.25">
      <c r="A84" s="1" t="s">
        <v>417</v>
      </c>
      <c r="B84" s="1" t="s">
        <v>738</v>
      </c>
      <c r="C84" s="13">
        <v>220000</v>
      </c>
      <c r="D84" s="23">
        <f t="shared" si="1"/>
        <v>11000</v>
      </c>
    </row>
    <row r="85" spans="1:4" x14ac:dyDescent="0.25">
      <c r="A85" s="1" t="s">
        <v>418</v>
      </c>
      <c r="B85" s="1" t="s">
        <v>737</v>
      </c>
      <c r="C85" s="13">
        <v>354000</v>
      </c>
      <c r="D85" s="23">
        <f t="shared" si="1"/>
        <v>35400</v>
      </c>
    </row>
    <row r="86" spans="1:4" x14ac:dyDescent="0.25">
      <c r="A86" s="1" t="s">
        <v>419</v>
      </c>
      <c r="B86" s="1" t="s">
        <v>737</v>
      </c>
      <c r="C86" s="13">
        <v>112000</v>
      </c>
      <c r="D86" s="23">
        <f t="shared" si="1"/>
        <v>11200</v>
      </c>
    </row>
    <row r="87" spans="1:4" x14ac:dyDescent="0.25">
      <c r="A87" s="1" t="s">
        <v>420</v>
      </c>
      <c r="B87" s="1" t="s">
        <v>737</v>
      </c>
      <c r="C87" s="13">
        <v>154000</v>
      </c>
      <c r="D87" s="23">
        <f t="shared" si="1"/>
        <v>15400</v>
      </c>
    </row>
    <row r="88" spans="1:4" x14ac:dyDescent="0.25">
      <c r="A88" s="1" t="s">
        <v>421</v>
      </c>
      <c r="B88" s="1" t="s">
        <v>735</v>
      </c>
      <c r="C88" s="13">
        <v>363000</v>
      </c>
      <c r="D88" s="23">
        <f t="shared" si="1"/>
        <v>181500</v>
      </c>
    </row>
    <row r="89" spans="1:4" x14ac:dyDescent="0.25">
      <c r="A89" s="1" t="s">
        <v>422</v>
      </c>
      <c r="B89" s="1" t="s">
        <v>737</v>
      </c>
      <c r="C89" s="13">
        <v>385000</v>
      </c>
      <c r="D89" s="23">
        <f t="shared" si="1"/>
        <v>38500</v>
      </c>
    </row>
    <row r="90" spans="1:4" x14ac:dyDescent="0.25">
      <c r="A90" s="1" t="s">
        <v>423</v>
      </c>
      <c r="B90" s="1" t="s">
        <v>735</v>
      </c>
      <c r="C90" s="13">
        <v>346000</v>
      </c>
      <c r="D90" s="23">
        <f t="shared" si="1"/>
        <v>173000</v>
      </c>
    </row>
    <row r="91" spans="1:4" x14ac:dyDescent="0.25">
      <c r="A91" s="1" t="s">
        <v>424</v>
      </c>
      <c r="B91" s="1" t="s">
        <v>736</v>
      </c>
      <c r="C91" s="13">
        <v>199000</v>
      </c>
      <c r="D91" s="23">
        <f t="shared" si="1"/>
        <v>49750</v>
      </c>
    </row>
    <row r="92" spans="1:4" x14ac:dyDescent="0.25">
      <c r="A92" s="1" t="s">
        <v>425</v>
      </c>
      <c r="B92" s="1" t="s">
        <v>737</v>
      </c>
      <c r="C92" s="13">
        <v>392000</v>
      </c>
      <c r="D92" s="23">
        <f t="shared" si="1"/>
        <v>39200</v>
      </c>
    </row>
    <row r="93" spans="1:4" x14ac:dyDescent="0.25">
      <c r="A93" s="1" t="s">
        <v>426</v>
      </c>
      <c r="B93" s="1" t="s">
        <v>735</v>
      </c>
      <c r="C93" s="13">
        <v>240000</v>
      </c>
      <c r="D93" s="23">
        <f t="shared" si="1"/>
        <v>120000</v>
      </c>
    </row>
    <row r="94" spans="1:4" x14ac:dyDescent="0.25">
      <c r="A94" s="1" t="s">
        <v>427</v>
      </c>
      <c r="B94" s="1" t="s">
        <v>737</v>
      </c>
      <c r="C94" s="13">
        <v>154000</v>
      </c>
      <c r="D94" s="23">
        <f t="shared" si="1"/>
        <v>15400</v>
      </c>
    </row>
    <row r="95" spans="1:4" x14ac:dyDescent="0.25">
      <c r="A95" s="1" t="s">
        <v>428</v>
      </c>
      <c r="B95" s="1" t="s">
        <v>737</v>
      </c>
      <c r="C95" s="13">
        <v>324000</v>
      </c>
      <c r="D95" s="23">
        <f t="shared" si="1"/>
        <v>32400</v>
      </c>
    </row>
    <row r="96" spans="1:4" x14ac:dyDescent="0.25">
      <c r="A96" s="1" t="s">
        <v>429</v>
      </c>
      <c r="B96" s="1" t="s">
        <v>736</v>
      </c>
      <c r="C96" s="13">
        <v>110000</v>
      </c>
      <c r="D96" s="23">
        <f t="shared" si="1"/>
        <v>27500</v>
      </c>
    </row>
    <row r="97" spans="1:4" x14ac:dyDescent="0.25">
      <c r="A97" s="1" t="s">
        <v>430</v>
      </c>
      <c r="B97" s="1" t="s">
        <v>737</v>
      </c>
      <c r="C97" s="13">
        <v>115000</v>
      </c>
      <c r="D97" s="23">
        <f t="shared" si="1"/>
        <v>11500</v>
      </c>
    </row>
    <row r="98" spans="1:4" x14ac:dyDescent="0.25">
      <c r="A98" s="1" t="s">
        <v>431</v>
      </c>
      <c r="B98" s="1" t="s">
        <v>737</v>
      </c>
      <c r="C98" s="13">
        <v>389000</v>
      </c>
      <c r="D98" s="23">
        <f t="shared" si="1"/>
        <v>38900</v>
      </c>
    </row>
    <row r="99" spans="1:4" x14ac:dyDescent="0.25">
      <c r="A99" s="1" t="s">
        <v>432</v>
      </c>
      <c r="B99" s="1" t="s">
        <v>736</v>
      </c>
      <c r="C99" s="13">
        <v>306000</v>
      </c>
      <c r="D99" s="23">
        <f t="shared" si="1"/>
        <v>76500</v>
      </c>
    </row>
    <row r="100" spans="1:4" x14ac:dyDescent="0.25">
      <c r="A100" s="1" t="s">
        <v>433</v>
      </c>
      <c r="B100" s="1" t="s">
        <v>737</v>
      </c>
      <c r="C100" s="13">
        <v>176000</v>
      </c>
      <c r="D100" s="23">
        <f t="shared" si="1"/>
        <v>17600</v>
      </c>
    </row>
    <row r="101" spans="1:4" x14ac:dyDescent="0.25">
      <c r="A101" s="1" t="s">
        <v>434</v>
      </c>
      <c r="B101" s="1" t="s">
        <v>735</v>
      </c>
      <c r="C101" s="13">
        <v>493000</v>
      </c>
      <c r="D101" s="23">
        <f t="shared" si="1"/>
        <v>246500</v>
      </c>
    </row>
    <row r="102" spans="1:4" x14ac:dyDescent="0.25">
      <c r="A102" s="1" t="s">
        <v>435</v>
      </c>
      <c r="B102" s="1" t="s">
        <v>736</v>
      </c>
      <c r="C102" s="13">
        <v>133000</v>
      </c>
      <c r="D102" s="23">
        <f t="shared" si="1"/>
        <v>33250</v>
      </c>
    </row>
    <row r="103" spans="1:4" x14ac:dyDescent="0.25">
      <c r="A103" s="1" t="s">
        <v>436</v>
      </c>
      <c r="B103" s="1" t="s">
        <v>738</v>
      </c>
      <c r="C103" s="13">
        <v>372000</v>
      </c>
      <c r="D103" s="23">
        <f t="shared" si="1"/>
        <v>18600</v>
      </c>
    </row>
    <row r="104" spans="1:4" x14ac:dyDescent="0.25">
      <c r="A104" s="1" t="s">
        <v>437</v>
      </c>
      <c r="B104" s="1" t="s">
        <v>736</v>
      </c>
      <c r="C104" s="13">
        <v>217000</v>
      </c>
      <c r="D104" s="23">
        <f t="shared" si="1"/>
        <v>54250</v>
      </c>
    </row>
    <row r="105" spans="1:4" x14ac:dyDescent="0.25">
      <c r="A105" s="1" t="s">
        <v>438</v>
      </c>
      <c r="B105" s="1" t="s">
        <v>736</v>
      </c>
      <c r="C105" s="13">
        <v>142000</v>
      </c>
      <c r="D105" s="23">
        <f t="shared" si="1"/>
        <v>35500</v>
      </c>
    </row>
    <row r="106" spans="1:4" x14ac:dyDescent="0.25">
      <c r="A106" s="1" t="s">
        <v>439</v>
      </c>
      <c r="B106" s="1" t="s">
        <v>736</v>
      </c>
      <c r="C106" s="13">
        <v>275000</v>
      </c>
      <c r="D106" s="23">
        <f t="shared" si="1"/>
        <v>68750</v>
      </c>
    </row>
    <row r="107" spans="1:4" x14ac:dyDescent="0.25">
      <c r="A107" s="1" t="s">
        <v>440</v>
      </c>
      <c r="B107" s="1" t="s">
        <v>737</v>
      </c>
      <c r="C107" s="13">
        <v>481000</v>
      </c>
      <c r="D107" s="23">
        <f t="shared" si="1"/>
        <v>48100</v>
      </c>
    </row>
    <row r="108" spans="1:4" x14ac:dyDescent="0.25">
      <c r="A108" s="1" t="s">
        <v>441</v>
      </c>
      <c r="B108" s="1" t="s">
        <v>738</v>
      </c>
      <c r="C108" s="13">
        <v>161000</v>
      </c>
      <c r="D108" s="23">
        <f t="shared" si="1"/>
        <v>8050</v>
      </c>
    </row>
    <row r="109" spans="1:4" x14ac:dyDescent="0.25">
      <c r="A109" s="1" t="s">
        <v>442</v>
      </c>
      <c r="B109" s="1" t="s">
        <v>735</v>
      </c>
      <c r="C109" s="13">
        <v>226000</v>
      </c>
      <c r="D109" s="23">
        <f t="shared" si="1"/>
        <v>113000</v>
      </c>
    </row>
    <row r="110" spans="1:4" x14ac:dyDescent="0.25">
      <c r="A110" s="1" t="s">
        <v>443</v>
      </c>
      <c r="B110" s="1" t="s">
        <v>737</v>
      </c>
      <c r="C110" s="13">
        <v>123000</v>
      </c>
      <c r="D110" s="23">
        <f t="shared" si="1"/>
        <v>12300</v>
      </c>
    </row>
    <row r="111" spans="1:4" x14ac:dyDescent="0.25">
      <c r="A111" s="1" t="s">
        <v>444</v>
      </c>
      <c r="B111" s="1" t="s">
        <v>735</v>
      </c>
      <c r="C111" s="13">
        <v>414000</v>
      </c>
      <c r="D111" s="23">
        <f t="shared" si="1"/>
        <v>207000</v>
      </c>
    </row>
    <row r="112" spans="1:4" x14ac:dyDescent="0.25">
      <c r="A112" s="1" t="s">
        <v>445</v>
      </c>
      <c r="B112" s="1" t="s">
        <v>738</v>
      </c>
      <c r="C112" s="13">
        <v>346000</v>
      </c>
      <c r="D112" s="23">
        <f t="shared" si="1"/>
        <v>17300</v>
      </c>
    </row>
    <row r="113" spans="1:4" x14ac:dyDescent="0.25">
      <c r="A113" s="1" t="s">
        <v>446</v>
      </c>
      <c r="B113" s="1" t="s">
        <v>738</v>
      </c>
      <c r="C113" s="13">
        <v>419000</v>
      </c>
      <c r="D113" s="23">
        <f t="shared" si="1"/>
        <v>20950</v>
      </c>
    </row>
    <row r="114" spans="1:4" x14ac:dyDescent="0.25">
      <c r="A114" s="1" t="s">
        <v>447</v>
      </c>
      <c r="B114" s="1" t="s">
        <v>736</v>
      </c>
      <c r="C114" s="13">
        <v>309000</v>
      </c>
      <c r="D114" s="23">
        <f t="shared" si="1"/>
        <v>77250</v>
      </c>
    </row>
    <row r="115" spans="1:4" x14ac:dyDescent="0.25">
      <c r="A115" s="1" t="s">
        <v>448</v>
      </c>
      <c r="B115" s="1" t="s">
        <v>737</v>
      </c>
      <c r="C115" s="13">
        <v>369000</v>
      </c>
      <c r="D115" s="23">
        <f t="shared" si="1"/>
        <v>36900</v>
      </c>
    </row>
    <row r="116" spans="1:4" x14ac:dyDescent="0.25">
      <c r="A116" s="1" t="s">
        <v>449</v>
      </c>
      <c r="B116" s="1" t="s">
        <v>738</v>
      </c>
      <c r="C116" s="13">
        <v>280000</v>
      </c>
      <c r="D116" s="23">
        <f t="shared" si="1"/>
        <v>14000</v>
      </c>
    </row>
    <row r="117" spans="1:4" x14ac:dyDescent="0.25">
      <c r="A117" s="1" t="s">
        <v>450</v>
      </c>
      <c r="B117" s="1" t="s">
        <v>736</v>
      </c>
      <c r="C117" s="13">
        <v>253000</v>
      </c>
      <c r="D117" s="23">
        <f t="shared" si="1"/>
        <v>63250</v>
      </c>
    </row>
    <row r="118" spans="1:4" x14ac:dyDescent="0.25">
      <c r="A118" s="1" t="s">
        <v>451</v>
      </c>
      <c r="B118" s="1" t="s">
        <v>735</v>
      </c>
      <c r="C118" s="13">
        <v>255000</v>
      </c>
      <c r="D118" s="23">
        <f t="shared" si="1"/>
        <v>127500</v>
      </c>
    </row>
    <row r="119" spans="1:4" x14ac:dyDescent="0.25">
      <c r="A119" s="1" t="s">
        <v>452</v>
      </c>
      <c r="B119" s="1" t="s">
        <v>735</v>
      </c>
      <c r="C119" s="13">
        <v>477000</v>
      </c>
      <c r="D119" s="23">
        <f t="shared" si="1"/>
        <v>238500</v>
      </c>
    </row>
    <row r="120" spans="1:4" x14ac:dyDescent="0.25">
      <c r="A120" s="1" t="s">
        <v>453</v>
      </c>
      <c r="B120" s="1" t="s">
        <v>736</v>
      </c>
      <c r="C120" s="13">
        <v>276000</v>
      </c>
      <c r="D120" s="23">
        <f t="shared" si="1"/>
        <v>69000</v>
      </c>
    </row>
    <row r="121" spans="1:4" x14ac:dyDescent="0.25">
      <c r="A121" s="1" t="s">
        <v>454</v>
      </c>
      <c r="B121" s="1" t="s">
        <v>736</v>
      </c>
      <c r="C121" s="13">
        <v>135000</v>
      </c>
      <c r="D121" s="23">
        <f t="shared" si="1"/>
        <v>33750</v>
      </c>
    </row>
    <row r="122" spans="1:4" x14ac:dyDescent="0.25">
      <c r="A122" s="1" t="s">
        <v>455</v>
      </c>
      <c r="B122" s="1" t="s">
        <v>736</v>
      </c>
      <c r="C122" s="13">
        <v>295000</v>
      </c>
      <c r="D122" s="23">
        <f t="shared" si="1"/>
        <v>73750</v>
      </c>
    </row>
    <row r="123" spans="1:4" x14ac:dyDescent="0.25">
      <c r="A123" s="1" t="s">
        <v>456</v>
      </c>
      <c r="B123" s="1" t="s">
        <v>735</v>
      </c>
      <c r="C123" s="13">
        <v>332000</v>
      </c>
      <c r="D123" s="23">
        <f t="shared" si="1"/>
        <v>166000</v>
      </c>
    </row>
    <row r="124" spans="1:4" x14ac:dyDescent="0.25">
      <c r="A124" s="1" t="s">
        <v>457</v>
      </c>
      <c r="B124" s="1" t="s">
        <v>736</v>
      </c>
      <c r="C124" s="13">
        <v>310000</v>
      </c>
      <c r="D124" s="23">
        <f t="shared" si="1"/>
        <v>77500</v>
      </c>
    </row>
    <row r="125" spans="1:4" x14ac:dyDescent="0.25">
      <c r="A125" s="1" t="s">
        <v>458</v>
      </c>
      <c r="B125" s="1" t="s">
        <v>737</v>
      </c>
      <c r="C125" s="13">
        <v>197000</v>
      </c>
      <c r="D125" s="23">
        <f t="shared" si="1"/>
        <v>19700</v>
      </c>
    </row>
    <row r="126" spans="1:4" x14ac:dyDescent="0.25">
      <c r="A126" s="1" t="s">
        <v>459</v>
      </c>
      <c r="B126" s="1" t="s">
        <v>738</v>
      </c>
      <c r="C126" s="13">
        <v>258000</v>
      </c>
      <c r="D126" s="23">
        <f t="shared" si="1"/>
        <v>12900</v>
      </c>
    </row>
    <row r="127" spans="1:4" x14ac:dyDescent="0.25">
      <c r="A127" s="1" t="s">
        <v>460</v>
      </c>
      <c r="B127" s="1" t="s">
        <v>738</v>
      </c>
      <c r="C127" s="13">
        <v>365000</v>
      </c>
      <c r="D127" s="23">
        <f t="shared" si="1"/>
        <v>18250</v>
      </c>
    </row>
    <row r="128" spans="1:4" x14ac:dyDescent="0.25">
      <c r="A128" s="1" t="s">
        <v>461</v>
      </c>
      <c r="B128" s="1" t="s">
        <v>735</v>
      </c>
      <c r="C128" s="13">
        <v>483000</v>
      </c>
      <c r="D128" s="23">
        <f t="shared" si="1"/>
        <v>241500</v>
      </c>
    </row>
    <row r="129" spans="1:4" x14ac:dyDescent="0.25">
      <c r="A129" s="1" t="s">
        <v>462</v>
      </c>
      <c r="B129" s="1" t="s">
        <v>738</v>
      </c>
      <c r="C129" s="13">
        <v>373000</v>
      </c>
      <c r="D129" s="23">
        <f t="shared" si="1"/>
        <v>18650</v>
      </c>
    </row>
    <row r="130" spans="1:4" x14ac:dyDescent="0.25">
      <c r="A130" s="1" t="s">
        <v>463</v>
      </c>
      <c r="B130" s="1" t="s">
        <v>738</v>
      </c>
      <c r="C130" s="13">
        <v>216000</v>
      </c>
      <c r="D130" s="23">
        <f t="shared" si="1"/>
        <v>10800</v>
      </c>
    </row>
    <row r="131" spans="1:4" x14ac:dyDescent="0.25">
      <c r="A131" s="1" t="s">
        <v>464</v>
      </c>
      <c r="B131" s="1" t="s">
        <v>737</v>
      </c>
      <c r="C131" s="13">
        <v>141000</v>
      </c>
      <c r="D131" s="23">
        <f t="shared" ref="D131:D194" si="2">IF(B131=$G$2,C131*$H$2,IF(B131=$G$3,C131*$H$3,IF(B131=$G$4,C131*$H$4,C131*$H$5)))</f>
        <v>14100</v>
      </c>
    </row>
    <row r="132" spans="1:4" x14ac:dyDescent="0.25">
      <c r="A132" s="1" t="s">
        <v>465</v>
      </c>
      <c r="B132" s="1" t="s">
        <v>737</v>
      </c>
      <c r="C132" s="13">
        <v>349000</v>
      </c>
      <c r="D132" s="23">
        <f t="shared" si="2"/>
        <v>34900</v>
      </c>
    </row>
    <row r="133" spans="1:4" x14ac:dyDescent="0.25">
      <c r="A133" s="1" t="s">
        <v>466</v>
      </c>
      <c r="B133" s="1" t="s">
        <v>735</v>
      </c>
      <c r="C133" s="13">
        <v>302000</v>
      </c>
      <c r="D133" s="23">
        <f t="shared" si="2"/>
        <v>151000</v>
      </c>
    </row>
    <row r="134" spans="1:4" x14ac:dyDescent="0.25">
      <c r="A134" s="1" t="s">
        <v>467</v>
      </c>
      <c r="B134" s="1" t="s">
        <v>736</v>
      </c>
      <c r="C134" s="13">
        <v>168000</v>
      </c>
      <c r="D134" s="23">
        <f t="shared" si="2"/>
        <v>42000</v>
      </c>
    </row>
    <row r="135" spans="1:4" x14ac:dyDescent="0.25">
      <c r="A135" s="1" t="s">
        <v>468</v>
      </c>
      <c r="B135" s="1" t="s">
        <v>738</v>
      </c>
      <c r="C135" s="13">
        <v>219000</v>
      </c>
      <c r="D135" s="23">
        <f t="shared" si="2"/>
        <v>10950</v>
      </c>
    </row>
    <row r="136" spans="1:4" x14ac:dyDescent="0.25">
      <c r="A136" s="1" t="s">
        <v>469</v>
      </c>
      <c r="B136" s="1" t="s">
        <v>738</v>
      </c>
      <c r="C136" s="13">
        <v>128000</v>
      </c>
      <c r="D136" s="23">
        <f t="shared" si="2"/>
        <v>6400</v>
      </c>
    </row>
    <row r="137" spans="1:4" x14ac:dyDescent="0.25">
      <c r="A137" s="1" t="s">
        <v>470</v>
      </c>
      <c r="B137" s="1" t="s">
        <v>737</v>
      </c>
      <c r="C137" s="13">
        <v>155000</v>
      </c>
      <c r="D137" s="23">
        <f t="shared" si="2"/>
        <v>15500</v>
      </c>
    </row>
    <row r="138" spans="1:4" x14ac:dyDescent="0.25">
      <c r="A138" s="1" t="s">
        <v>471</v>
      </c>
      <c r="B138" s="1" t="s">
        <v>737</v>
      </c>
      <c r="C138" s="13">
        <v>279000</v>
      </c>
      <c r="D138" s="23">
        <f t="shared" si="2"/>
        <v>27900</v>
      </c>
    </row>
    <row r="139" spans="1:4" x14ac:dyDescent="0.25">
      <c r="A139" s="1" t="s">
        <v>472</v>
      </c>
      <c r="B139" s="1" t="s">
        <v>736</v>
      </c>
      <c r="C139" s="13">
        <v>411000</v>
      </c>
      <c r="D139" s="23">
        <f t="shared" si="2"/>
        <v>102750</v>
      </c>
    </row>
    <row r="140" spans="1:4" x14ac:dyDescent="0.25">
      <c r="A140" s="1" t="s">
        <v>473</v>
      </c>
      <c r="B140" s="1" t="s">
        <v>735</v>
      </c>
      <c r="C140" s="13">
        <v>225000</v>
      </c>
      <c r="D140" s="23">
        <f t="shared" si="2"/>
        <v>112500</v>
      </c>
    </row>
    <row r="141" spans="1:4" x14ac:dyDescent="0.25">
      <c r="A141" s="1" t="s">
        <v>474</v>
      </c>
      <c r="B141" s="1" t="s">
        <v>735</v>
      </c>
      <c r="C141" s="13">
        <v>264000</v>
      </c>
      <c r="D141" s="23">
        <f t="shared" si="2"/>
        <v>132000</v>
      </c>
    </row>
    <row r="142" spans="1:4" x14ac:dyDescent="0.25">
      <c r="A142" s="1" t="s">
        <v>475</v>
      </c>
      <c r="B142" s="1" t="s">
        <v>738</v>
      </c>
      <c r="C142" s="13">
        <v>418000</v>
      </c>
      <c r="D142" s="23">
        <f t="shared" si="2"/>
        <v>20900</v>
      </c>
    </row>
    <row r="143" spans="1:4" x14ac:dyDescent="0.25">
      <c r="A143" s="1" t="s">
        <v>476</v>
      </c>
      <c r="B143" s="1" t="s">
        <v>736</v>
      </c>
      <c r="C143" s="13">
        <v>145000</v>
      </c>
      <c r="D143" s="23">
        <f t="shared" si="2"/>
        <v>36250</v>
      </c>
    </row>
    <row r="144" spans="1:4" x14ac:dyDescent="0.25">
      <c r="A144" s="1" t="s">
        <v>477</v>
      </c>
      <c r="B144" s="1" t="s">
        <v>738</v>
      </c>
      <c r="C144" s="13">
        <v>110000</v>
      </c>
      <c r="D144" s="23">
        <f t="shared" si="2"/>
        <v>5500</v>
      </c>
    </row>
    <row r="145" spans="1:4" x14ac:dyDescent="0.25">
      <c r="A145" s="1" t="s">
        <v>478</v>
      </c>
      <c r="B145" s="1" t="s">
        <v>738</v>
      </c>
      <c r="C145" s="13">
        <v>175000</v>
      </c>
      <c r="D145" s="23">
        <f t="shared" si="2"/>
        <v>8750</v>
      </c>
    </row>
    <row r="146" spans="1:4" x14ac:dyDescent="0.25">
      <c r="A146" s="1" t="s">
        <v>479</v>
      </c>
      <c r="B146" s="1" t="s">
        <v>737</v>
      </c>
      <c r="C146" s="13">
        <v>262000</v>
      </c>
      <c r="D146" s="23">
        <f t="shared" si="2"/>
        <v>26200</v>
      </c>
    </row>
    <row r="147" spans="1:4" x14ac:dyDescent="0.25">
      <c r="A147" s="1" t="s">
        <v>480</v>
      </c>
      <c r="B147" s="1" t="s">
        <v>735</v>
      </c>
      <c r="C147" s="13">
        <v>361000</v>
      </c>
      <c r="D147" s="23">
        <f t="shared" si="2"/>
        <v>180500</v>
      </c>
    </row>
    <row r="148" spans="1:4" x14ac:dyDescent="0.25">
      <c r="A148" s="1" t="s">
        <v>481</v>
      </c>
      <c r="B148" s="1" t="s">
        <v>738</v>
      </c>
      <c r="C148" s="13">
        <v>488000</v>
      </c>
      <c r="D148" s="23">
        <f t="shared" si="2"/>
        <v>24400</v>
      </c>
    </row>
    <row r="149" spans="1:4" x14ac:dyDescent="0.25">
      <c r="A149" s="1" t="s">
        <v>482</v>
      </c>
      <c r="B149" s="1" t="s">
        <v>736</v>
      </c>
      <c r="C149" s="13">
        <v>334000</v>
      </c>
      <c r="D149" s="23">
        <f t="shared" si="2"/>
        <v>83500</v>
      </c>
    </row>
    <row r="150" spans="1:4" x14ac:dyDescent="0.25">
      <c r="A150" s="1" t="s">
        <v>483</v>
      </c>
      <c r="B150" s="1" t="s">
        <v>735</v>
      </c>
      <c r="C150" s="13">
        <v>270000</v>
      </c>
      <c r="D150" s="23">
        <f t="shared" si="2"/>
        <v>135000</v>
      </c>
    </row>
    <row r="151" spans="1:4" x14ac:dyDescent="0.25">
      <c r="A151" s="1" t="s">
        <v>484</v>
      </c>
      <c r="B151" s="1" t="s">
        <v>735</v>
      </c>
      <c r="C151" s="13">
        <v>128000</v>
      </c>
      <c r="D151" s="23">
        <f t="shared" si="2"/>
        <v>64000</v>
      </c>
    </row>
    <row r="152" spans="1:4" x14ac:dyDescent="0.25">
      <c r="A152" s="1" t="s">
        <v>485</v>
      </c>
      <c r="B152" s="1" t="s">
        <v>736</v>
      </c>
      <c r="C152" s="13">
        <v>321000</v>
      </c>
      <c r="D152" s="23">
        <f t="shared" si="2"/>
        <v>80250</v>
      </c>
    </row>
    <row r="153" spans="1:4" x14ac:dyDescent="0.25">
      <c r="A153" s="1" t="s">
        <v>486</v>
      </c>
      <c r="B153" s="1" t="s">
        <v>736</v>
      </c>
      <c r="C153" s="13">
        <v>105000</v>
      </c>
      <c r="D153" s="23">
        <f t="shared" si="2"/>
        <v>26250</v>
      </c>
    </row>
    <row r="154" spans="1:4" x14ac:dyDescent="0.25">
      <c r="A154" s="1" t="s">
        <v>487</v>
      </c>
      <c r="B154" s="1" t="s">
        <v>738</v>
      </c>
      <c r="C154" s="13">
        <v>385000</v>
      </c>
      <c r="D154" s="23">
        <f t="shared" si="2"/>
        <v>19250</v>
      </c>
    </row>
    <row r="155" spans="1:4" x14ac:dyDescent="0.25">
      <c r="A155" s="1" t="s">
        <v>488</v>
      </c>
      <c r="B155" s="1" t="s">
        <v>737</v>
      </c>
      <c r="C155" s="13">
        <v>232000</v>
      </c>
      <c r="D155" s="23">
        <f t="shared" si="2"/>
        <v>23200</v>
      </c>
    </row>
    <row r="156" spans="1:4" x14ac:dyDescent="0.25">
      <c r="A156" s="1" t="s">
        <v>489</v>
      </c>
      <c r="B156" s="1" t="s">
        <v>735</v>
      </c>
      <c r="C156" s="13">
        <v>376000</v>
      </c>
      <c r="D156" s="23">
        <f t="shared" si="2"/>
        <v>188000</v>
      </c>
    </row>
    <row r="157" spans="1:4" x14ac:dyDescent="0.25">
      <c r="A157" s="1" t="s">
        <v>490</v>
      </c>
      <c r="B157" s="1" t="s">
        <v>737</v>
      </c>
      <c r="C157" s="13">
        <v>139000</v>
      </c>
      <c r="D157" s="23">
        <f t="shared" si="2"/>
        <v>13900</v>
      </c>
    </row>
    <row r="158" spans="1:4" x14ac:dyDescent="0.25">
      <c r="A158" s="1" t="s">
        <v>491</v>
      </c>
      <c r="B158" s="1" t="s">
        <v>736</v>
      </c>
      <c r="C158" s="13">
        <v>300000</v>
      </c>
      <c r="D158" s="23">
        <f t="shared" si="2"/>
        <v>75000</v>
      </c>
    </row>
    <row r="159" spans="1:4" x14ac:dyDescent="0.25">
      <c r="A159" s="1" t="s">
        <v>492</v>
      </c>
      <c r="B159" s="1" t="s">
        <v>735</v>
      </c>
      <c r="C159" s="13">
        <v>383000</v>
      </c>
      <c r="D159" s="23">
        <f t="shared" si="2"/>
        <v>191500</v>
      </c>
    </row>
    <row r="160" spans="1:4" x14ac:dyDescent="0.25">
      <c r="A160" s="1" t="s">
        <v>493</v>
      </c>
      <c r="B160" s="1" t="s">
        <v>738</v>
      </c>
      <c r="C160" s="13">
        <v>306000</v>
      </c>
      <c r="D160" s="23">
        <f t="shared" si="2"/>
        <v>15300</v>
      </c>
    </row>
    <row r="161" spans="1:4" x14ac:dyDescent="0.25">
      <c r="A161" s="1" t="s">
        <v>494</v>
      </c>
      <c r="B161" s="1" t="s">
        <v>735</v>
      </c>
      <c r="C161" s="13">
        <v>407000</v>
      </c>
      <c r="D161" s="23">
        <f t="shared" si="2"/>
        <v>203500</v>
      </c>
    </row>
    <row r="162" spans="1:4" x14ac:dyDescent="0.25">
      <c r="A162" s="1" t="s">
        <v>495</v>
      </c>
      <c r="B162" s="1" t="s">
        <v>738</v>
      </c>
      <c r="C162" s="13">
        <v>476000</v>
      </c>
      <c r="D162" s="23">
        <f t="shared" si="2"/>
        <v>23800</v>
      </c>
    </row>
    <row r="163" spans="1:4" x14ac:dyDescent="0.25">
      <c r="A163" s="1" t="s">
        <v>496</v>
      </c>
      <c r="B163" s="1" t="s">
        <v>738</v>
      </c>
      <c r="C163" s="13">
        <v>441000</v>
      </c>
      <c r="D163" s="23">
        <f t="shared" si="2"/>
        <v>22050</v>
      </c>
    </row>
    <row r="164" spans="1:4" x14ac:dyDescent="0.25">
      <c r="A164" s="1" t="s">
        <v>497</v>
      </c>
      <c r="B164" s="1" t="s">
        <v>737</v>
      </c>
      <c r="C164" s="13">
        <v>296000</v>
      </c>
      <c r="D164" s="23">
        <f t="shared" si="2"/>
        <v>29600</v>
      </c>
    </row>
    <row r="165" spans="1:4" x14ac:dyDescent="0.25">
      <c r="A165" s="1" t="s">
        <v>498</v>
      </c>
      <c r="B165" s="1" t="s">
        <v>738</v>
      </c>
      <c r="C165" s="13">
        <v>331000</v>
      </c>
      <c r="D165" s="23">
        <f t="shared" si="2"/>
        <v>16550</v>
      </c>
    </row>
    <row r="166" spans="1:4" x14ac:dyDescent="0.25">
      <c r="A166" s="1" t="s">
        <v>499</v>
      </c>
      <c r="B166" s="1" t="s">
        <v>735</v>
      </c>
      <c r="C166" s="13">
        <v>343000</v>
      </c>
      <c r="D166" s="23">
        <f t="shared" si="2"/>
        <v>171500</v>
      </c>
    </row>
    <row r="167" spans="1:4" x14ac:dyDescent="0.25">
      <c r="A167" s="1" t="s">
        <v>500</v>
      </c>
      <c r="B167" s="1" t="s">
        <v>738</v>
      </c>
      <c r="C167" s="13">
        <v>267000</v>
      </c>
      <c r="D167" s="23">
        <f t="shared" si="2"/>
        <v>13350</v>
      </c>
    </row>
    <row r="168" spans="1:4" x14ac:dyDescent="0.25">
      <c r="A168" s="1" t="s">
        <v>501</v>
      </c>
      <c r="B168" s="1" t="s">
        <v>736</v>
      </c>
      <c r="C168" s="13">
        <v>191000</v>
      </c>
      <c r="D168" s="23">
        <f t="shared" si="2"/>
        <v>47750</v>
      </c>
    </row>
    <row r="169" spans="1:4" x14ac:dyDescent="0.25">
      <c r="A169" s="1" t="s">
        <v>502</v>
      </c>
      <c r="B169" s="1" t="s">
        <v>736</v>
      </c>
      <c r="C169" s="13">
        <v>249000</v>
      </c>
      <c r="D169" s="23">
        <f t="shared" si="2"/>
        <v>62250</v>
      </c>
    </row>
    <row r="170" spans="1:4" x14ac:dyDescent="0.25">
      <c r="A170" s="1" t="s">
        <v>503</v>
      </c>
      <c r="B170" s="1" t="s">
        <v>735</v>
      </c>
      <c r="C170" s="13">
        <v>277000</v>
      </c>
      <c r="D170" s="23">
        <f t="shared" si="2"/>
        <v>138500</v>
      </c>
    </row>
    <row r="171" spans="1:4" x14ac:dyDescent="0.25">
      <c r="A171" s="1" t="s">
        <v>504</v>
      </c>
      <c r="B171" s="1" t="s">
        <v>737</v>
      </c>
      <c r="C171" s="13">
        <v>253000</v>
      </c>
      <c r="D171" s="23">
        <f t="shared" si="2"/>
        <v>25300</v>
      </c>
    </row>
    <row r="172" spans="1:4" x14ac:dyDescent="0.25">
      <c r="A172" s="1" t="s">
        <v>505</v>
      </c>
      <c r="B172" s="1" t="s">
        <v>738</v>
      </c>
      <c r="C172" s="13">
        <v>377000</v>
      </c>
      <c r="D172" s="23">
        <f t="shared" si="2"/>
        <v>18850</v>
      </c>
    </row>
    <row r="173" spans="1:4" x14ac:dyDescent="0.25">
      <c r="A173" s="1" t="s">
        <v>506</v>
      </c>
      <c r="B173" s="1" t="s">
        <v>738</v>
      </c>
      <c r="C173" s="13">
        <v>312000</v>
      </c>
      <c r="D173" s="23">
        <f t="shared" si="2"/>
        <v>15600</v>
      </c>
    </row>
    <row r="174" spans="1:4" x14ac:dyDescent="0.25">
      <c r="A174" s="1" t="s">
        <v>507</v>
      </c>
      <c r="B174" s="1" t="s">
        <v>735</v>
      </c>
      <c r="C174" s="13">
        <v>214000</v>
      </c>
      <c r="D174" s="23">
        <f t="shared" si="2"/>
        <v>107000</v>
      </c>
    </row>
    <row r="175" spans="1:4" x14ac:dyDescent="0.25">
      <c r="A175" s="1" t="s">
        <v>508</v>
      </c>
      <c r="B175" s="1" t="s">
        <v>738</v>
      </c>
      <c r="C175" s="13">
        <v>405000</v>
      </c>
      <c r="D175" s="23">
        <f t="shared" si="2"/>
        <v>20250</v>
      </c>
    </row>
    <row r="176" spans="1:4" x14ac:dyDescent="0.25">
      <c r="A176" s="1" t="s">
        <v>509</v>
      </c>
      <c r="B176" s="1" t="s">
        <v>738</v>
      </c>
      <c r="C176" s="13">
        <v>125000</v>
      </c>
      <c r="D176" s="23">
        <f t="shared" si="2"/>
        <v>6250</v>
      </c>
    </row>
    <row r="177" spans="1:4" x14ac:dyDescent="0.25">
      <c r="A177" s="1" t="s">
        <v>510</v>
      </c>
      <c r="B177" s="1" t="s">
        <v>735</v>
      </c>
      <c r="C177" s="13">
        <v>443000</v>
      </c>
      <c r="D177" s="23">
        <f t="shared" si="2"/>
        <v>221500</v>
      </c>
    </row>
    <row r="178" spans="1:4" x14ac:dyDescent="0.25">
      <c r="A178" s="1" t="s">
        <v>511</v>
      </c>
      <c r="B178" s="1" t="s">
        <v>738</v>
      </c>
      <c r="C178" s="13">
        <v>343000</v>
      </c>
      <c r="D178" s="23">
        <f t="shared" si="2"/>
        <v>17150</v>
      </c>
    </row>
    <row r="179" spans="1:4" x14ac:dyDescent="0.25">
      <c r="A179" s="1" t="s">
        <v>512</v>
      </c>
      <c r="B179" s="1" t="s">
        <v>738</v>
      </c>
      <c r="C179" s="13">
        <v>395000</v>
      </c>
      <c r="D179" s="23">
        <f t="shared" si="2"/>
        <v>19750</v>
      </c>
    </row>
    <row r="180" spans="1:4" x14ac:dyDescent="0.25">
      <c r="A180" s="1" t="s">
        <v>513</v>
      </c>
      <c r="B180" s="1" t="s">
        <v>735</v>
      </c>
      <c r="C180" s="13">
        <v>299000</v>
      </c>
      <c r="D180" s="23">
        <f t="shared" si="2"/>
        <v>149500</v>
      </c>
    </row>
    <row r="181" spans="1:4" x14ac:dyDescent="0.25">
      <c r="A181" s="1" t="s">
        <v>514</v>
      </c>
      <c r="B181" s="1" t="s">
        <v>737</v>
      </c>
      <c r="C181" s="13">
        <v>223000</v>
      </c>
      <c r="D181" s="23">
        <f t="shared" si="2"/>
        <v>22300</v>
      </c>
    </row>
    <row r="182" spans="1:4" x14ac:dyDescent="0.25">
      <c r="A182" s="1" t="s">
        <v>515</v>
      </c>
      <c r="B182" s="1" t="s">
        <v>735</v>
      </c>
      <c r="C182" s="13">
        <v>105000</v>
      </c>
      <c r="D182" s="23">
        <f t="shared" si="2"/>
        <v>52500</v>
      </c>
    </row>
    <row r="183" spans="1:4" x14ac:dyDescent="0.25">
      <c r="A183" s="1" t="s">
        <v>516</v>
      </c>
      <c r="B183" s="1" t="s">
        <v>735</v>
      </c>
      <c r="C183" s="13">
        <v>402000</v>
      </c>
      <c r="D183" s="23">
        <f t="shared" si="2"/>
        <v>201000</v>
      </c>
    </row>
    <row r="184" spans="1:4" x14ac:dyDescent="0.25">
      <c r="A184" s="1" t="s">
        <v>517</v>
      </c>
      <c r="B184" s="1" t="s">
        <v>735</v>
      </c>
      <c r="C184" s="13">
        <v>295000</v>
      </c>
      <c r="D184" s="23">
        <f t="shared" si="2"/>
        <v>147500</v>
      </c>
    </row>
    <row r="185" spans="1:4" x14ac:dyDescent="0.25">
      <c r="A185" s="1" t="s">
        <v>518</v>
      </c>
      <c r="B185" s="1" t="s">
        <v>738</v>
      </c>
      <c r="C185" s="13">
        <v>179000</v>
      </c>
      <c r="D185" s="23">
        <f t="shared" si="2"/>
        <v>8950</v>
      </c>
    </row>
    <row r="186" spans="1:4" x14ac:dyDescent="0.25">
      <c r="A186" s="1" t="s">
        <v>519</v>
      </c>
      <c r="B186" s="1" t="s">
        <v>738</v>
      </c>
      <c r="C186" s="13">
        <v>317000</v>
      </c>
      <c r="D186" s="23">
        <f t="shared" si="2"/>
        <v>15850</v>
      </c>
    </row>
    <row r="187" spans="1:4" x14ac:dyDescent="0.25">
      <c r="A187" s="1" t="s">
        <v>520</v>
      </c>
      <c r="B187" s="1" t="s">
        <v>735</v>
      </c>
      <c r="C187" s="13">
        <v>389000</v>
      </c>
      <c r="D187" s="23">
        <f t="shared" si="2"/>
        <v>194500</v>
      </c>
    </row>
    <row r="188" spans="1:4" x14ac:dyDescent="0.25">
      <c r="A188" s="1" t="s">
        <v>521</v>
      </c>
      <c r="B188" s="1" t="s">
        <v>735</v>
      </c>
      <c r="C188" s="13">
        <v>451000</v>
      </c>
      <c r="D188" s="23">
        <f t="shared" si="2"/>
        <v>225500</v>
      </c>
    </row>
    <row r="189" spans="1:4" x14ac:dyDescent="0.25">
      <c r="A189" s="1" t="s">
        <v>522</v>
      </c>
      <c r="B189" s="1" t="s">
        <v>738</v>
      </c>
      <c r="C189" s="13">
        <v>296000</v>
      </c>
      <c r="D189" s="23">
        <f t="shared" si="2"/>
        <v>14800</v>
      </c>
    </row>
    <row r="190" spans="1:4" x14ac:dyDescent="0.25">
      <c r="A190" s="1" t="s">
        <v>523</v>
      </c>
      <c r="B190" s="1" t="s">
        <v>738</v>
      </c>
      <c r="C190" s="13">
        <v>325000</v>
      </c>
      <c r="D190" s="23">
        <f t="shared" si="2"/>
        <v>16250</v>
      </c>
    </row>
    <row r="191" spans="1:4" x14ac:dyDescent="0.25">
      <c r="A191" s="1" t="s">
        <v>524</v>
      </c>
      <c r="B191" s="1" t="s">
        <v>735</v>
      </c>
      <c r="C191" s="13">
        <v>420000</v>
      </c>
      <c r="D191" s="23">
        <f t="shared" si="2"/>
        <v>210000</v>
      </c>
    </row>
    <row r="192" spans="1:4" x14ac:dyDescent="0.25">
      <c r="A192" s="1" t="s">
        <v>525</v>
      </c>
      <c r="B192" s="1" t="s">
        <v>736</v>
      </c>
      <c r="C192" s="13">
        <v>297000</v>
      </c>
      <c r="D192" s="23">
        <f t="shared" si="2"/>
        <v>74250</v>
      </c>
    </row>
    <row r="193" spans="1:4" x14ac:dyDescent="0.25">
      <c r="A193" s="1" t="s">
        <v>526</v>
      </c>
      <c r="B193" s="1" t="s">
        <v>737</v>
      </c>
      <c r="C193" s="13">
        <v>117000</v>
      </c>
      <c r="D193" s="23">
        <f t="shared" si="2"/>
        <v>11700</v>
      </c>
    </row>
    <row r="194" spans="1:4" x14ac:dyDescent="0.25">
      <c r="A194" s="1" t="s">
        <v>527</v>
      </c>
      <c r="B194" s="1" t="s">
        <v>735</v>
      </c>
      <c r="C194" s="13">
        <v>305000</v>
      </c>
      <c r="D194" s="23">
        <f t="shared" si="2"/>
        <v>152500</v>
      </c>
    </row>
    <row r="195" spans="1:4" x14ac:dyDescent="0.25">
      <c r="A195" s="1" t="s">
        <v>528</v>
      </c>
      <c r="B195" s="1" t="s">
        <v>735</v>
      </c>
      <c r="C195" s="13">
        <v>450000</v>
      </c>
      <c r="D195" s="23">
        <f t="shared" ref="D195:D258" si="3">IF(B195=$G$2,C195*$H$2,IF(B195=$G$3,C195*$H$3,IF(B195=$G$4,C195*$H$4,C195*$H$5)))</f>
        <v>225000</v>
      </c>
    </row>
    <row r="196" spans="1:4" x14ac:dyDescent="0.25">
      <c r="A196" s="1" t="s">
        <v>529</v>
      </c>
      <c r="B196" s="1" t="s">
        <v>737</v>
      </c>
      <c r="C196" s="13">
        <v>450000</v>
      </c>
      <c r="D196" s="23">
        <f t="shared" si="3"/>
        <v>45000</v>
      </c>
    </row>
    <row r="197" spans="1:4" x14ac:dyDescent="0.25">
      <c r="A197" s="1" t="s">
        <v>530</v>
      </c>
      <c r="B197" s="1" t="s">
        <v>738</v>
      </c>
      <c r="C197" s="13">
        <v>336000</v>
      </c>
      <c r="D197" s="23">
        <f t="shared" si="3"/>
        <v>16800</v>
      </c>
    </row>
    <row r="198" spans="1:4" x14ac:dyDescent="0.25">
      <c r="A198" s="1" t="s">
        <v>531</v>
      </c>
      <c r="B198" s="1" t="s">
        <v>737</v>
      </c>
      <c r="C198" s="13">
        <v>251000</v>
      </c>
      <c r="D198" s="23">
        <f t="shared" si="3"/>
        <v>25100</v>
      </c>
    </row>
    <row r="199" spans="1:4" x14ac:dyDescent="0.25">
      <c r="A199" s="1" t="s">
        <v>532</v>
      </c>
      <c r="B199" s="1" t="s">
        <v>736</v>
      </c>
      <c r="C199" s="13">
        <v>315000</v>
      </c>
      <c r="D199" s="23">
        <f t="shared" si="3"/>
        <v>78750</v>
      </c>
    </row>
    <row r="200" spans="1:4" x14ac:dyDescent="0.25">
      <c r="A200" s="1" t="s">
        <v>533</v>
      </c>
      <c r="B200" s="1" t="s">
        <v>737</v>
      </c>
      <c r="C200" s="13">
        <v>500000</v>
      </c>
      <c r="D200" s="23">
        <f t="shared" si="3"/>
        <v>50000</v>
      </c>
    </row>
    <row r="201" spans="1:4" x14ac:dyDescent="0.25">
      <c r="A201" s="1" t="s">
        <v>534</v>
      </c>
      <c r="B201" s="1" t="s">
        <v>735</v>
      </c>
      <c r="C201" s="13">
        <v>413000</v>
      </c>
      <c r="D201" s="23">
        <f t="shared" si="3"/>
        <v>206500</v>
      </c>
    </row>
    <row r="202" spans="1:4" x14ac:dyDescent="0.25">
      <c r="A202" s="1" t="s">
        <v>535</v>
      </c>
      <c r="B202" s="1" t="s">
        <v>736</v>
      </c>
      <c r="C202" s="13">
        <v>345000</v>
      </c>
      <c r="D202" s="23">
        <f t="shared" si="3"/>
        <v>86250</v>
      </c>
    </row>
    <row r="203" spans="1:4" x14ac:dyDescent="0.25">
      <c r="A203" s="1" t="s">
        <v>536</v>
      </c>
      <c r="B203" s="1" t="s">
        <v>736</v>
      </c>
      <c r="C203" s="13">
        <v>218000</v>
      </c>
      <c r="D203" s="23">
        <f t="shared" si="3"/>
        <v>54500</v>
      </c>
    </row>
    <row r="204" spans="1:4" x14ac:dyDescent="0.25">
      <c r="A204" s="1" t="s">
        <v>537</v>
      </c>
      <c r="B204" s="1" t="s">
        <v>735</v>
      </c>
      <c r="C204" s="13">
        <v>333000</v>
      </c>
      <c r="D204" s="23">
        <f t="shared" si="3"/>
        <v>166500</v>
      </c>
    </row>
    <row r="205" spans="1:4" x14ac:dyDescent="0.25">
      <c r="A205" s="1" t="s">
        <v>538</v>
      </c>
      <c r="B205" s="1" t="s">
        <v>737</v>
      </c>
      <c r="C205" s="13">
        <v>119000</v>
      </c>
      <c r="D205" s="23">
        <f t="shared" si="3"/>
        <v>11900</v>
      </c>
    </row>
    <row r="206" spans="1:4" x14ac:dyDescent="0.25">
      <c r="A206" s="1" t="s">
        <v>539</v>
      </c>
      <c r="B206" s="1" t="s">
        <v>738</v>
      </c>
      <c r="C206" s="13">
        <v>242000</v>
      </c>
      <c r="D206" s="23">
        <f t="shared" si="3"/>
        <v>12100</v>
      </c>
    </row>
    <row r="207" spans="1:4" x14ac:dyDescent="0.25">
      <c r="A207" s="1" t="s">
        <v>540</v>
      </c>
      <c r="B207" s="1" t="s">
        <v>736</v>
      </c>
      <c r="C207" s="13">
        <v>272000</v>
      </c>
      <c r="D207" s="23">
        <f t="shared" si="3"/>
        <v>68000</v>
      </c>
    </row>
    <row r="208" spans="1:4" x14ac:dyDescent="0.25">
      <c r="A208" s="1" t="s">
        <v>541</v>
      </c>
      <c r="B208" s="1" t="s">
        <v>736</v>
      </c>
      <c r="C208" s="13">
        <v>220000</v>
      </c>
      <c r="D208" s="23">
        <f t="shared" si="3"/>
        <v>55000</v>
      </c>
    </row>
    <row r="209" spans="1:4" x14ac:dyDescent="0.25">
      <c r="A209" s="1" t="s">
        <v>542</v>
      </c>
      <c r="B209" s="1" t="s">
        <v>738</v>
      </c>
      <c r="C209" s="13">
        <v>235000</v>
      </c>
      <c r="D209" s="23">
        <f t="shared" si="3"/>
        <v>11750</v>
      </c>
    </row>
    <row r="210" spans="1:4" x14ac:dyDescent="0.25">
      <c r="A210" s="1" t="s">
        <v>543</v>
      </c>
      <c r="B210" s="1" t="s">
        <v>738</v>
      </c>
      <c r="C210" s="13">
        <v>156000</v>
      </c>
      <c r="D210" s="23">
        <f t="shared" si="3"/>
        <v>7800</v>
      </c>
    </row>
    <row r="211" spans="1:4" x14ac:dyDescent="0.25">
      <c r="A211" s="1" t="s">
        <v>544</v>
      </c>
      <c r="B211" s="1" t="s">
        <v>735</v>
      </c>
      <c r="C211" s="13">
        <v>207000</v>
      </c>
      <c r="D211" s="23">
        <f t="shared" si="3"/>
        <v>103500</v>
      </c>
    </row>
    <row r="212" spans="1:4" x14ac:dyDescent="0.25">
      <c r="A212" s="1" t="s">
        <v>545</v>
      </c>
      <c r="B212" s="1" t="s">
        <v>738</v>
      </c>
      <c r="C212" s="13">
        <v>441000</v>
      </c>
      <c r="D212" s="23">
        <f t="shared" si="3"/>
        <v>22050</v>
      </c>
    </row>
    <row r="213" spans="1:4" x14ac:dyDescent="0.25">
      <c r="A213" s="1" t="s">
        <v>546</v>
      </c>
      <c r="B213" s="1" t="s">
        <v>738</v>
      </c>
      <c r="C213" s="13">
        <v>399000</v>
      </c>
      <c r="D213" s="23">
        <f t="shared" si="3"/>
        <v>19950</v>
      </c>
    </row>
    <row r="214" spans="1:4" x14ac:dyDescent="0.25">
      <c r="A214" s="1" t="s">
        <v>547</v>
      </c>
      <c r="B214" s="1" t="s">
        <v>737</v>
      </c>
      <c r="C214" s="13">
        <v>231000</v>
      </c>
      <c r="D214" s="23">
        <f t="shared" si="3"/>
        <v>23100</v>
      </c>
    </row>
    <row r="215" spans="1:4" x14ac:dyDescent="0.25">
      <c r="A215" s="1" t="s">
        <v>548</v>
      </c>
      <c r="B215" s="1" t="s">
        <v>738</v>
      </c>
      <c r="C215" s="13">
        <v>357000</v>
      </c>
      <c r="D215" s="23">
        <f t="shared" si="3"/>
        <v>17850</v>
      </c>
    </row>
    <row r="216" spans="1:4" x14ac:dyDescent="0.25">
      <c r="A216" s="1" t="s">
        <v>549</v>
      </c>
      <c r="B216" s="1" t="s">
        <v>737</v>
      </c>
      <c r="C216" s="13">
        <v>272000</v>
      </c>
      <c r="D216" s="23">
        <f t="shared" si="3"/>
        <v>27200</v>
      </c>
    </row>
    <row r="217" spans="1:4" x14ac:dyDescent="0.25">
      <c r="A217" s="1" t="s">
        <v>550</v>
      </c>
      <c r="B217" s="1" t="s">
        <v>738</v>
      </c>
      <c r="C217" s="13">
        <v>284000</v>
      </c>
      <c r="D217" s="23">
        <f t="shared" si="3"/>
        <v>14200</v>
      </c>
    </row>
    <row r="218" spans="1:4" x14ac:dyDescent="0.25">
      <c r="A218" s="1" t="s">
        <v>551</v>
      </c>
      <c r="B218" s="1" t="s">
        <v>737</v>
      </c>
      <c r="C218" s="13">
        <v>329000</v>
      </c>
      <c r="D218" s="23">
        <f t="shared" si="3"/>
        <v>32900</v>
      </c>
    </row>
    <row r="219" spans="1:4" x14ac:dyDescent="0.25">
      <c r="A219" s="1" t="s">
        <v>552</v>
      </c>
      <c r="B219" s="1" t="s">
        <v>737</v>
      </c>
      <c r="C219" s="13">
        <v>225000</v>
      </c>
      <c r="D219" s="23">
        <f t="shared" si="3"/>
        <v>22500</v>
      </c>
    </row>
    <row r="220" spans="1:4" x14ac:dyDescent="0.25">
      <c r="A220" s="1" t="s">
        <v>553</v>
      </c>
      <c r="B220" s="1" t="s">
        <v>738</v>
      </c>
      <c r="C220" s="13">
        <v>374000</v>
      </c>
      <c r="D220" s="23">
        <f t="shared" si="3"/>
        <v>18700</v>
      </c>
    </row>
    <row r="221" spans="1:4" x14ac:dyDescent="0.25">
      <c r="A221" s="1" t="s">
        <v>554</v>
      </c>
      <c r="B221" s="1" t="s">
        <v>737</v>
      </c>
      <c r="C221" s="13">
        <v>252000</v>
      </c>
      <c r="D221" s="23">
        <f t="shared" si="3"/>
        <v>25200</v>
      </c>
    </row>
    <row r="222" spans="1:4" x14ac:dyDescent="0.25">
      <c r="A222" s="1" t="s">
        <v>555</v>
      </c>
      <c r="B222" s="1" t="s">
        <v>737</v>
      </c>
      <c r="C222" s="13">
        <v>252000</v>
      </c>
      <c r="D222" s="23">
        <f t="shared" si="3"/>
        <v>25200</v>
      </c>
    </row>
    <row r="223" spans="1:4" x14ac:dyDescent="0.25">
      <c r="A223" s="1" t="s">
        <v>556</v>
      </c>
      <c r="B223" s="1" t="s">
        <v>738</v>
      </c>
      <c r="C223" s="13">
        <v>449000</v>
      </c>
      <c r="D223" s="23">
        <f t="shared" si="3"/>
        <v>22450</v>
      </c>
    </row>
    <row r="224" spans="1:4" x14ac:dyDescent="0.25">
      <c r="A224" s="1" t="s">
        <v>557</v>
      </c>
      <c r="B224" s="1" t="s">
        <v>737</v>
      </c>
      <c r="C224" s="13">
        <v>399000</v>
      </c>
      <c r="D224" s="23">
        <f t="shared" si="3"/>
        <v>39900</v>
      </c>
    </row>
    <row r="225" spans="1:4" x14ac:dyDescent="0.25">
      <c r="A225" s="1" t="s">
        <v>558</v>
      </c>
      <c r="B225" s="1" t="s">
        <v>736</v>
      </c>
      <c r="C225" s="13">
        <v>253000</v>
      </c>
      <c r="D225" s="23">
        <f t="shared" si="3"/>
        <v>63250</v>
      </c>
    </row>
    <row r="226" spans="1:4" x14ac:dyDescent="0.25">
      <c r="A226" s="1" t="s">
        <v>559</v>
      </c>
      <c r="B226" s="1" t="s">
        <v>738</v>
      </c>
      <c r="C226" s="13">
        <v>313000</v>
      </c>
      <c r="D226" s="23">
        <f t="shared" si="3"/>
        <v>15650</v>
      </c>
    </row>
    <row r="227" spans="1:4" x14ac:dyDescent="0.25">
      <c r="A227" s="1" t="s">
        <v>560</v>
      </c>
      <c r="B227" s="1" t="s">
        <v>738</v>
      </c>
      <c r="C227" s="13">
        <v>313000</v>
      </c>
      <c r="D227" s="23">
        <f t="shared" si="3"/>
        <v>15650</v>
      </c>
    </row>
    <row r="228" spans="1:4" x14ac:dyDescent="0.25">
      <c r="A228" s="1" t="s">
        <v>561</v>
      </c>
      <c r="B228" s="1" t="s">
        <v>736</v>
      </c>
      <c r="C228" s="13">
        <v>366000</v>
      </c>
      <c r="D228" s="23">
        <f t="shared" si="3"/>
        <v>91500</v>
      </c>
    </row>
    <row r="229" spans="1:4" x14ac:dyDescent="0.25">
      <c r="A229" s="1" t="s">
        <v>562</v>
      </c>
      <c r="B229" s="1" t="s">
        <v>736</v>
      </c>
      <c r="C229" s="13">
        <v>362000</v>
      </c>
      <c r="D229" s="23">
        <f t="shared" si="3"/>
        <v>90500</v>
      </c>
    </row>
    <row r="230" spans="1:4" x14ac:dyDescent="0.25">
      <c r="A230" s="1" t="s">
        <v>563</v>
      </c>
      <c r="B230" s="1" t="s">
        <v>737</v>
      </c>
      <c r="C230" s="13">
        <v>422000</v>
      </c>
      <c r="D230" s="23">
        <f t="shared" si="3"/>
        <v>42200</v>
      </c>
    </row>
    <row r="231" spans="1:4" x14ac:dyDescent="0.25">
      <c r="A231" s="1" t="s">
        <v>564</v>
      </c>
      <c r="B231" s="1" t="s">
        <v>737</v>
      </c>
      <c r="C231" s="13">
        <v>398000</v>
      </c>
      <c r="D231" s="23">
        <f t="shared" si="3"/>
        <v>39800</v>
      </c>
    </row>
    <row r="232" spans="1:4" x14ac:dyDescent="0.25">
      <c r="A232" s="1" t="s">
        <v>565</v>
      </c>
      <c r="B232" s="1" t="s">
        <v>736</v>
      </c>
      <c r="C232" s="13">
        <v>484000</v>
      </c>
      <c r="D232" s="23">
        <f t="shared" si="3"/>
        <v>121000</v>
      </c>
    </row>
    <row r="233" spans="1:4" x14ac:dyDescent="0.25">
      <c r="A233" s="1" t="s">
        <v>566</v>
      </c>
      <c r="B233" s="1" t="s">
        <v>738</v>
      </c>
      <c r="C233" s="13">
        <v>435000</v>
      </c>
      <c r="D233" s="23">
        <f t="shared" si="3"/>
        <v>21750</v>
      </c>
    </row>
    <row r="234" spans="1:4" x14ac:dyDescent="0.25">
      <c r="A234" s="1" t="s">
        <v>567</v>
      </c>
      <c r="B234" s="1" t="s">
        <v>737</v>
      </c>
      <c r="C234" s="13">
        <v>208000</v>
      </c>
      <c r="D234" s="23">
        <f t="shared" si="3"/>
        <v>20800</v>
      </c>
    </row>
    <row r="235" spans="1:4" x14ac:dyDescent="0.25">
      <c r="A235" s="1" t="s">
        <v>568</v>
      </c>
      <c r="B235" s="1" t="s">
        <v>735</v>
      </c>
      <c r="C235" s="13">
        <v>364000</v>
      </c>
      <c r="D235" s="23">
        <f t="shared" si="3"/>
        <v>182000</v>
      </c>
    </row>
    <row r="236" spans="1:4" x14ac:dyDescent="0.25">
      <c r="A236" s="1" t="s">
        <v>569</v>
      </c>
      <c r="B236" s="1" t="s">
        <v>737</v>
      </c>
      <c r="C236" s="13">
        <v>255000</v>
      </c>
      <c r="D236" s="23">
        <f t="shared" si="3"/>
        <v>25500</v>
      </c>
    </row>
    <row r="237" spans="1:4" x14ac:dyDescent="0.25">
      <c r="A237" s="1" t="s">
        <v>570</v>
      </c>
      <c r="B237" s="1" t="s">
        <v>736</v>
      </c>
      <c r="C237" s="13">
        <v>117000</v>
      </c>
      <c r="D237" s="23">
        <f t="shared" si="3"/>
        <v>29250</v>
      </c>
    </row>
    <row r="238" spans="1:4" x14ac:dyDescent="0.25">
      <c r="A238" s="1" t="s">
        <v>571</v>
      </c>
      <c r="B238" s="1" t="s">
        <v>735</v>
      </c>
      <c r="C238" s="13">
        <v>418000</v>
      </c>
      <c r="D238" s="23">
        <f t="shared" si="3"/>
        <v>209000</v>
      </c>
    </row>
    <row r="239" spans="1:4" x14ac:dyDescent="0.25">
      <c r="A239" s="1" t="s">
        <v>572</v>
      </c>
      <c r="B239" s="1" t="s">
        <v>738</v>
      </c>
      <c r="C239" s="13">
        <v>287000</v>
      </c>
      <c r="D239" s="23">
        <f t="shared" si="3"/>
        <v>14350</v>
      </c>
    </row>
    <row r="240" spans="1:4" x14ac:dyDescent="0.25">
      <c r="A240" s="1" t="s">
        <v>573</v>
      </c>
      <c r="B240" s="1" t="s">
        <v>735</v>
      </c>
      <c r="C240" s="13">
        <v>379000</v>
      </c>
      <c r="D240" s="23">
        <f t="shared" si="3"/>
        <v>189500</v>
      </c>
    </row>
    <row r="241" spans="1:4" x14ac:dyDescent="0.25">
      <c r="A241" s="1" t="s">
        <v>574</v>
      </c>
      <c r="B241" s="1" t="s">
        <v>735</v>
      </c>
      <c r="C241" s="13">
        <v>208000</v>
      </c>
      <c r="D241" s="23">
        <f t="shared" si="3"/>
        <v>104000</v>
      </c>
    </row>
    <row r="242" spans="1:4" x14ac:dyDescent="0.25">
      <c r="A242" s="1" t="s">
        <v>575</v>
      </c>
      <c r="B242" s="1" t="s">
        <v>736</v>
      </c>
      <c r="C242" s="13">
        <v>182000</v>
      </c>
      <c r="D242" s="23">
        <f t="shared" si="3"/>
        <v>45500</v>
      </c>
    </row>
    <row r="243" spans="1:4" x14ac:dyDescent="0.25">
      <c r="A243" s="1" t="s">
        <v>576</v>
      </c>
      <c r="B243" s="1" t="s">
        <v>735</v>
      </c>
      <c r="C243" s="13">
        <v>372000</v>
      </c>
      <c r="D243" s="23">
        <f t="shared" si="3"/>
        <v>186000</v>
      </c>
    </row>
    <row r="244" spans="1:4" x14ac:dyDescent="0.25">
      <c r="A244" s="1" t="s">
        <v>577</v>
      </c>
      <c r="B244" s="1" t="s">
        <v>736</v>
      </c>
      <c r="C244" s="13">
        <v>284000</v>
      </c>
      <c r="D244" s="23">
        <f t="shared" si="3"/>
        <v>71000</v>
      </c>
    </row>
    <row r="245" spans="1:4" x14ac:dyDescent="0.25">
      <c r="A245" s="1" t="s">
        <v>578</v>
      </c>
      <c r="B245" s="1" t="s">
        <v>736</v>
      </c>
      <c r="C245" s="13">
        <v>304000</v>
      </c>
      <c r="D245" s="23">
        <f t="shared" si="3"/>
        <v>76000</v>
      </c>
    </row>
    <row r="246" spans="1:4" x14ac:dyDescent="0.25">
      <c r="A246" s="1" t="s">
        <v>579</v>
      </c>
      <c r="B246" s="1" t="s">
        <v>735</v>
      </c>
      <c r="C246" s="13">
        <v>266000</v>
      </c>
      <c r="D246" s="23">
        <f t="shared" si="3"/>
        <v>133000</v>
      </c>
    </row>
    <row r="247" spans="1:4" x14ac:dyDescent="0.25">
      <c r="A247" s="1" t="s">
        <v>580</v>
      </c>
      <c r="B247" s="1" t="s">
        <v>735</v>
      </c>
      <c r="C247" s="13">
        <v>480000</v>
      </c>
      <c r="D247" s="23">
        <f t="shared" si="3"/>
        <v>240000</v>
      </c>
    </row>
    <row r="248" spans="1:4" x14ac:dyDescent="0.25">
      <c r="A248" s="1" t="s">
        <v>581</v>
      </c>
      <c r="B248" s="1" t="s">
        <v>736</v>
      </c>
      <c r="C248" s="13">
        <v>298000</v>
      </c>
      <c r="D248" s="23">
        <f t="shared" si="3"/>
        <v>74500</v>
      </c>
    </row>
    <row r="249" spans="1:4" x14ac:dyDescent="0.25">
      <c r="A249" s="1" t="s">
        <v>582</v>
      </c>
      <c r="B249" s="1" t="s">
        <v>737</v>
      </c>
      <c r="C249" s="13">
        <v>254000</v>
      </c>
      <c r="D249" s="23">
        <f t="shared" si="3"/>
        <v>25400</v>
      </c>
    </row>
    <row r="250" spans="1:4" x14ac:dyDescent="0.25">
      <c r="A250" s="1" t="s">
        <v>583</v>
      </c>
      <c r="B250" s="1" t="s">
        <v>736</v>
      </c>
      <c r="C250" s="13">
        <v>432000</v>
      </c>
      <c r="D250" s="23">
        <f t="shared" si="3"/>
        <v>108000</v>
      </c>
    </row>
    <row r="251" spans="1:4" x14ac:dyDescent="0.25">
      <c r="A251" s="1" t="s">
        <v>584</v>
      </c>
      <c r="B251" s="1" t="s">
        <v>736</v>
      </c>
      <c r="C251" s="13">
        <v>269000</v>
      </c>
      <c r="D251" s="23">
        <f t="shared" si="3"/>
        <v>67250</v>
      </c>
    </row>
    <row r="252" spans="1:4" x14ac:dyDescent="0.25">
      <c r="A252" s="1" t="s">
        <v>585</v>
      </c>
      <c r="B252" s="1" t="s">
        <v>738</v>
      </c>
      <c r="C252" s="13">
        <v>348000</v>
      </c>
      <c r="D252" s="23">
        <f t="shared" si="3"/>
        <v>17400</v>
      </c>
    </row>
    <row r="253" spans="1:4" x14ac:dyDescent="0.25">
      <c r="A253" s="1" t="s">
        <v>586</v>
      </c>
      <c r="B253" s="1" t="s">
        <v>735</v>
      </c>
      <c r="C253" s="13">
        <v>424000</v>
      </c>
      <c r="D253" s="23">
        <f t="shared" si="3"/>
        <v>212000</v>
      </c>
    </row>
    <row r="254" spans="1:4" x14ac:dyDescent="0.25">
      <c r="A254" s="1" t="s">
        <v>587</v>
      </c>
      <c r="B254" s="1" t="s">
        <v>737</v>
      </c>
      <c r="C254" s="13">
        <v>384000</v>
      </c>
      <c r="D254" s="23">
        <f t="shared" si="3"/>
        <v>38400</v>
      </c>
    </row>
    <row r="255" spans="1:4" x14ac:dyDescent="0.25">
      <c r="A255" s="1" t="s">
        <v>588</v>
      </c>
      <c r="B255" s="1" t="s">
        <v>736</v>
      </c>
      <c r="C255" s="13">
        <v>226000</v>
      </c>
      <c r="D255" s="23">
        <f t="shared" si="3"/>
        <v>56500</v>
      </c>
    </row>
    <row r="256" spans="1:4" x14ac:dyDescent="0.25">
      <c r="A256" s="1" t="s">
        <v>589</v>
      </c>
      <c r="B256" s="1" t="s">
        <v>736</v>
      </c>
      <c r="C256" s="13">
        <v>213000</v>
      </c>
      <c r="D256" s="23">
        <f t="shared" si="3"/>
        <v>53250</v>
      </c>
    </row>
    <row r="257" spans="1:4" x14ac:dyDescent="0.25">
      <c r="A257" s="1" t="s">
        <v>590</v>
      </c>
      <c r="B257" s="1" t="s">
        <v>738</v>
      </c>
      <c r="C257" s="13">
        <v>164000</v>
      </c>
      <c r="D257" s="23">
        <f t="shared" si="3"/>
        <v>8200</v>
      </c>
    </row>
    <row r="258" spans="1:4" x14ac:dyDescent="0.25">
      <c r="A258" s="1" t="s">
        <v>591</v>
      </c>
      <c r="B258" s="1" t="s">
        <v>736</v>
      </c>
      <c r="C258" s="13">
        <v>473000</v>
      </c>
      <c r="D258" s="23">
        <f t="shared" si="3"/>
        <v>118250</v>
      </c>
    </row>
    <row r="259" spans="1:4" x14ac:dyDescent="0.25">
      <c r="A259" s="1" t="s">
        <v>592</v>
      </c>
      <c r="B259" s="1" t="s">
        <v>736</v>
      </c>
      <c r="C259" s="13">
        <v>127000</v>
      </c>
      <c r="D259" s="23">
        <f t="shared" ref="D259:D322" si="4">IF(B259=$G$2,C259*$H$2,IF(B259=$G$3,C259*$H$3,IF(B259=$G$4,C259*$H$4,C259*$H$5)))</f>
        <v>31750</v>
      </c>
    </row>
    <row r="260" spans="1:4" x14ac:dyDescent="0.25">
      <c r="A260" s="1" t="s">
        <v>593</v>
      </c>
      <c r="B260" s="1" t="s">
        <v>736</v>
      </c>
      <c r="C260" s="13">
        <v>256000</v>
      </c>
      <c r="D260" s="23">
        <f t="shared" si="4"/>
        <v>64000</v>
      </c>
    </row>
    <row r="261" spans="1:4" x14ac:dyDescent="0.25">
      <c r="A261" s="1" t="s">
        <v>594</v>
      </c>
      <c r="B261" s="1" t="s">
        <v>737</v>
      </c>
      <c r="C261" s="13">
        <v>279000</v>
      </c>
      <c r="D261" s="23">
        <f t="shared" si="4"/>
        <v>27900</v>
      </c>
    </row>
    <row r="262" spans="1:4" x14ac:dyDescent="0.25">
      <c r="A262" s="1" t="s">
        <v>595</v>
      </c>
      <c r="B262" s="1" t="s">
        <v>736</v>
      </c>
      <c r="C262" s="13">
        <v>110000</v>
      </c>
      <c r="D262" s="23">
        <f t="shared" si="4"/>
        <v>27500</v>
      </c>
    </row>
    <row r="263" spans="1:4" x14ac:dyDescent="0.25">
      <c r="A263" s="1" t="s">
        <v>596</v>
      </c>
      <c r="B263" s="1" t="s">
        <v>736</v>
      </c>
      <c r="C263" s="13">
        <v>487000</v>
      </c>
      <c r="D263" s="23">
        <f t="shared" si="4"/>
        <v>121750</v>
      </c>
    </row>
    <row r="264" spans="1:4" x14ac:dyDescent="0.25">
      <c r="A264" s="1" t="s">
        <v>597</v>
      </c>
      <c r="B264" s="1" t="s">
        <v>738</v>
      </c>
      <c r="C264" s="13">
        <v>228000</v>
      </c>
      <c r="D264" s="23">
        <f t="shared" si="4"/>
        <v>11400</v>
      </c>
    </row>
    <row r="265" spans="1:4" x14ac:dyDescent="0.25">
      <c r="A265" s="1" t="s">
        <v>598</v>
      </c>
      <c r="B265" s="1" t="s">
        <v>736</v>
      </c>
      <c r="C265" s="13">
        <v>375000</v>
      </c>
      <c r="D265" s="23">
        <f t="shared" si="4"/>
        <v>93750</v>
      </c>
    </row>
    <row r="266" spans="1:4" x14ac:dyDescent="0.25">
      <c r="A266" s="1" t="s">
        <v>599</v>
      </c>
      <c r="B266" s="1" t="s">
        <v>737</v>
      </c>
      <c r="C266" s="13">
        <v>494000</v>
      </c>
      <c r="D266" s="23">
        <f t="shared" si="4"/>
        <v>49400</v>
      </c>
    </row>
    <row r="267" spans="1:4" x14ac:dyDescent="0.25">
      <c r="A267" s="1" t="s">
        <v>600</v>
      </c>
      <c r="B267" s="1" t="s">
        <v>737</v>
      </c>
      <c r="C267" s="13">
        <v>180000</v>
      </c>
      <c r="D267" s="23">
        <f t="shared" si="4"/>
        <v>18000</v>
      </c>
    </row>
    <row r="268" spans="1:4" x14ac:dyDescent="0.25">
      <c r="A268" s="1" t="s">
        <v>601</v>
      </c>
      <c r="B268" s="1" t="s">
        <v>736</v>
      </c>
      <c r="C268" s="13">
        <v>316000</v>
      </c>
      <c r="D268" s="23">
        <f t="shared" si="4"/>
        <v>79000</v>
      </c>
    </row>
    <row r="269" spans="1:4" x14ac:dyDescent="0.25">
      <c r="A269" s="1" t="s">
        <v>602</v>
      </c>
      <c r="B269" s="1" t="s">
        <v>736</v>
      </c>
      <c r="C269" s="13">
        <v>474000</v>
      </c>
      <c r="D269" s="23">
        <f t="shared" si="4"/>
        <v>118500</v>
      </c>
    </row>
    <row r="270" spans="1:4" x14ac:dyDescent="0.25">
      <c r="A270" s="1" t="s">
        <v>603</v>
      </c>
      <c r="B270" s="1" t="s">
        <v>737</v>
      </c>
      <c r="C270" s="13">
        <v>254000</v>
      </c>
      <c r="D270" s="23">
        <f t="shared" si="4"/>
        <v>25400</v>
      </c>
    </row>
    <row r="271" spans="1:4" x14ac:dyDescent="0.25">
      <c r="A271" s="1" t="s">
        <v>604</v>
      </c>
      <c r="B271" s="1" t="s">
        <v>737</v>
      </c>
      <c r="C271" s="13">
        <v>436000</v>
      </c>
      <c r="D271" s="23">
        <f t="shared" si="4"/>
        <v>43600</v>
      </c>
    </row>
    <row r="272" spans="1:4" x14ac:dyDescent="0.25">
      <c r="A272" s="1" t="s">
        <v>605</v>
      </c>
      <c r="B272" s="1" t="s">
        <v>736</v>
      </c>
      <c r="C272" s="13">
        <v>492000</v>
      </c>
      <c r="D272" s="23">
        <f t="shared" si="4"/>
        <v>123000</v>
      </c>
    </row>
    <row r="273" spans="1:4" x14ac:dyDescent="0.25">
      <c r="A273" s="1" t="s">
        <v>606</v>
      </c>
      <c r="B273" s="1" t="s">
        <v>738</v>
      </c>
      <c r="C273" s="13">
        <v>377000</v>
      </c>
      <c r="D273" s="23">
        <f t="shared" si="4"/>
        <v>18850</v>
      </c>
    </row>
    <row r="274" spans="1:4" x14ac:dyDescent="0.25">
      <c r="A274" s="1" t="s">
        <v>607</v>
      </c>
      <c r="B274" s="1" t="s">
        <v>736</v>
      </c>
      <c r="C274" s="13">
        <v>221000</v>
      </c>
      <c r="D274" s="23">
        <f t="shared" si="4"/>
        <v>55250</v>
      </c>
    </row>
    <row r="275" spans="1:4" x14ac:dyDescent="0.25">
      <c r="A275" s="1" t="s">
        <v>608</v>
      </c>
      <c r="B275" s="1" t="s">
        <v>737</v>
      </c>
      <c r="C275" s="13">
        <v>341000</v>
      </c>
      <c r="D275" s="23">
        <f t="shared" si="4"/>
        <v>34100</v>
      </c>
    </row>
    <row r="276" spans="1:4" x14ac:dyDescent="0.25">
      <c r="A276" s="1" t="s">
        <v>609</v>
      </c>
      <c r="B276" s="1" t="s">
        <v>738</v>
      </c>
      <c r="C276" s="13">
        <v>272000</v>
      </c>
      <c r="D276" s="23">
        <f t="shared" si="4"/>
        <v>13600</v>
      </c>
    </row>
    <row r="277" spans="1:4" x14ac:dyDescent="0.25">
      <c r="A277" s="1" t="s">
        <v>610</v>
      </c>
      <c r="B277" s="1" t="s">
        <v>735</v>
      </c>
      <c r="C277" s="13">
        <v>346000</v>
      </c>
      <c r="D277" s="23">
        <f t="shared" si="4"/>
        <v>173000</v>
      </c>
    </row>
    <row r="278" spans="1:4" x14ac:dyDescent="0.25">
      <c r="A278" s="1" t="s">
        <v>611</v>
      </c>
      <c r="B278" s="1" t="s">
        <v>737</v>
      </c>
      <c r="C278" s="13">
        <v>422000</v>
      </c>
      <c r="D278" s="23">
        <f t="shared" si="4"/>
        <v>42200</v>
      </c>
    </row>
    <row r="279" spans="1:4" x14ac:dyDescent="0.25">
      <c r="A279" s="1" t="s">
        <v>612</v>
      </c>
      <c r="B279" s="1" t="s">
        <v>737</v>
      </c>
      <c r="C279" s="13">
        <v>414000</v>
      </c>
      <c r="D279" s="23">
        <f t="shared" si="4"/>
        <v>41400</v>
      </c>
    </row>
    <row r="280" spans="1:4" x14ac:dyDescent="0.25">
      <c r="A280" s="1" t="s">
        <v>613</v>
      </c>
      <c r="B280" s="1" t="s">
        <v>738</v>
      </c>
      <c r="C280" s="13">
        <v>105000</v>
      </c>
      <c r="D280" s="23">
        <f t="shared" si="4"/>
        <v>5250</v>
      </c>
    </row>
    <row r="281" spans="1:4" x14ac:dyDescent="0.25">
      <c r="A281" s="1" t="s">
        <v>614</v>
      </c>
      <c r="B281" s="1" t="s">
        <v>736</v>
      </c>
      <c r="C281" s="13">
        <v>244000</v>
      </c>
      <c r="D281" s="23">
        <f t="shared" si="4"/>
        <v>61000</v>
      </c>
    </row>
    <row r="282" spans="1:4" x14ac:dyDescent="0.25">
      <c r="A282" s="1" t="s">
        <v>615</v>
      </c>
      <c r="B282" s="1" t="s">
        <v>736</v>
      </c>
      <c r="C282" s="13">
        <v>312000</v>
      </c>
      <c r="D282" s="23">
        <f t="shared" si="4"/>
        <v>78000</v>
      </c>
    </row>
    <row r="283" spans="1:4" x14ac:dyDescent="0.25">
      <c r="A283" s="1" t="s">
        <v>616</v>
      </c>
      <c r="B283" s="1" t="s">
        <v>737</v>
      </c>
      <c r="C283" s="13">
        <v>343000</v>
      </c>
      <c r="D283" s="23">
        <f t="shared" si="4"/>
        <v>34300</v>
      </c>
    </row>
    <row r="284" spans="1:4" x14ac:dyDescent="0.25">
      <c r="A284" s="1" t="s">
        <v>617</v>
      </c>
      <c r="B284" s="1" t="s">
        <v>738</v>
      </c>
      <c r="C284" s="13">
        <v>112000</v>
      </c>
      <c r="D284" s="23">
        <f t="shared" si="4"/>
        <v>5600</v>
      </c>
    </row>
    <row r="285" spans="1:4" x14ac:dyDescent="0.25">
      <c r="A285" s="1" t="s">
        <v>618</v>
      </c>
      <c r="B285" s="1" t="s">
        <v>735</v>
      </c>
      <c r="C285" s="13">
        <v>445000</v>
      </c>
      <c r="D285" s="23">
        <f t="shared" si="4"/>
        <v>222500</v>
      </c>
    </row>
    <row r="286" spans="1:4" x14ac:dyDescent="0.25">
      <c r="A286" s="1" t="s">
        <v>619</v>
      </c>
      <c r="B286" s="1" t="s">
        <v>737</v>
      </c>
      <c r="C286" s="13">
        <v>349000</v>
      </c>
      <c r="D286" s="23">
        <f t="shared" si="4"/>
        <v>34900</v>
      </c>
    </row>
    <row r="287" spans="1:4" x14ac:dyDescent="0.25">
      <c r="A287" s="1" t="s">
        <v>620</v>
      </c>
      <c r="B287" s="1" t="s">
        <v>735</v>
      </c>
      <c r="C287" s="13">
        <v>454000</v>
      </c>
      <c r="D287" s="23">
        <f t="shared" si="4"/>
        <v>227000</v>
      </c>
    </row>
    <row r="288" spans="1:4" x14ac:dyDescent="0.25">
      <c r="A288" s="1" t="s">
        <v>621</v>
      </c>
      <c r="B288" s="1" t="s">
        <v>736</v>
      </c>
      <c r="C288" s="13">
        <v>255000</v>
      </c>
      <c r="D288" s="23">
        <f t="shared" si="4"/>
        <v>63750</v>
      </c>
    </row>
    <row r="289" spans="1:4" x14ac:dyDescent="0.25">
      <c r="A289" s="1" t="s">
        <v>622</v>
      </c>
      <c r="B289" s="1" t="s">
        <v>735</v>
      </c>
      <c r="C289" s="13">
        <v>375000</v>
      </c>
      <c r="D289" s="23">
        <f t="shared" si="4"/>
        <v>187500</v>
      </c>
    </row>
    <row r="290" spans="1:4" x14ac:dyDescent="0.25">
      <c r="A290" s="1" t="s">
        <v>623</v>
      </c>
      <c r="B290" s="1" t="s">
        <v>738</v>
      </c>
      <c r="C290" s="13">
        <v>177000</v>
      </c>
      <c r="D290" s="23">
        <f t="shared" si="4"/>
        <v>8850</v>
      </c>
    </row>
    <row r="291" spans="1:4" x14ac:dyDescent="0.25">
      <c r="A291" s="1" t="s">
        <v>624</v>
      </c>
      <c r="B291" s="1" t="s">
        <v>737</v>
      </c>
      <c r="C291" s="13">
        <v>161000</v>
      </c>
      <c r="D291" s="23">
        <f t="shared" si="4"/>
        <v>16100</v>
      </c>
    </row>
    <row r="292" spans="1:4" x14ac:dyDescent="0.25">
      <c r="A292" s="1" t="s">
        <v>625</v>
      </c>
      <c r="B292" s="1" t="s">
        <v>735</v>
      </c>
      <c r="C292" s="13">
        <v>323000</v>
      </c>
      <c r="D292" s="23">
        <f t="shared" si="4"/>
        <v>161500</v>
      </c>
    </row>
    <row r="293" spans="1:4" x14ac:dyDescent="0.25">
      <c r="A293" s="1" t="s">
        <v>626</v>
      </c>
      <c r="B293" s="1" t="s">
        <v>737</v>
      </c>
      <c r="C293" s="13">
        <v>447000</v>
      </c>
      <c r="D293" s="23">
        <f t="shared" si="4"/>
        <v>44700</v>
      </c>
    </row>
    <row r="294" spans="1:4" x14ac:dyDescent="0.25">
      <c r="A294" s="1" t="s">
        <v>627</v>
      </c>
      <c r="B294" s="1" t="s">
        <v>735</v>
      </c>
      <c r="C294" s="13">
        <v>139000</v>
      </c>
      <c r="D294" s="23">
        <f t="shared" si="4"/>
        <v>69500</v>
      </c>
    </row>
    <row r="295" spans="1:4" x14ac:dyDescent="0.25">
      <c r="A295" s="1" t="s">
        <v>628</v>
      </c>
      <c r="B295" s="1" t="s">
        <v>738</v>
      </c>
      <c r="C295" s="13">
        <v>224000</v>
      </c>
      <c r="D295" s="23">
        <f t="shared" si="4"/>
        <v>11200</v>
      </c>
    </row>
    <row r="296" spans="1:4" x14ac:dyDescent="0.25">
      <c r="A296" s="1" t="s">
        <v>629</v>
      </c>
      <c r="B296" s="1" t="s">
        <v>736</v>
      </c>
      <c r="C296" s="13">
        <v>156000</v>
      </c>
      <c r="D296" s="23">
        <f t="shared" si="4"/>
        <v>39000</v>
      </c>
    </row>
    <row r="297" spans="1:4" x14ac:dyDescent="0.25">
      <c r="A297" s="1" t="s">
        <v>630</v>
      </c>
      <c r="B297" s="1" t="s">
        <v>736</v>
      </c>
      <c r="C297" s="13">
        <v>185000</v>
      </c>
      <c r="D297" s="23">
        <f t="shared" si="4"/>
        <v>46250</v>
      </c>
    </row>
    <row r="298" spans="1:4" x14ac:dyDescent="0.25">
      <c r="A298" s="1" t="s">
        <v>631</v>
      </c>
      <c r="B298" s="1" t="s">
        <v>737</v>
      </c>
      <c r="C298" s="13">
        <v>449000</v>
      </c>
      <c r="D298" s="23">
        <f t="shared" si="4"/>
        <v>44900</v>
      </c>
    </row>
    <row r="299" spans="1:4" x14ac:dyDescent="0.25">
      <c r="A299" s="1" t="s">
        <v>632</v>
      </c>
      <c r="B299" s="1" t="s">
        <v>735</v>
      </c>
      <c r="C299" s="13">
        <v>408000</v>
      </c>
      <c r="D299" s="23">
        <f t="shared" si="4"/>
        <v>204000</v>
      </c>
    </row>
    <row r="300" spans="1:4" x14ac:dyDescent="0.25">
      <c r="A300" s="1" t="s">
        <v>633</v>
      </c>
      <c r="B300" s="1" t="s">
        <v>737</v>
      </c>
      <c r="C300" s="13">
        <v>124000</v>
      </c>
      <c r="D300" s="23">
        <f t="shared" si="4"/>
        <v>12400</v>
      </c>
    </row>
    <row r="301" spans="1:4" x14ac:dyDescent="0.25">
      <c r="A301" s="1" t="s">
        <v>634</v>
      </c>
      <c r="B301" s="1" t="s">
        <v>738</v>
      </c>
      <c r="C301" s="13">
        <v>278000</v>
      </c>
      <c r="D301" s="23">
        <f t="shared" si="4"/>
        <v>13900</v>
      </c>
    </row>
    <row r="302" spans="1:4" x14ac:dyDescent="0.25">
      <c r="A302" s="1" t="s">
        <v>635</v>
      </c>
      <c r="B302" s="1" t="s">
        <v>736</v>
      </c>
      <c r="C302" s="13">
        <v>116000</v>
      </c>
      <c r="D302" s="23">
        <f t="shared" si="4"/>
        <v>29000</v>
      </c>
    </row>
    <row r="303" spans="1:4" x14ac:dyDescent="0.25">
      <c r="A303" s="1" t="s">
        <v>636</v>
      </c>
      <c r="B303" s="1" t="s">
        <v>738</v>
      </c>
      <c r="C303" s="13">
        <v>215000</v>
      </c>
      <c r="D303" s="23">
        <f t="shared" si="4"/>
        <v>10750</v>
      </c>
    </row>
    <row r="304" spans="1:4" x14ac:dyDescent="0.25">
      <c r="A304" s="1" t="s">
        <v>637</v>
      </c>
      <c r="B304" s="1" t="s">
        <v>736</v>
      </c>
      <c r="C304" s="13">
        <v>280000</v>
      </c>
      <c r="D304" s="23">
        <f t="shared" si="4"/>
        <v>70000</v>
      </c>
    </row>
    <row r="305" spans="1:4" x14ac:dyDescent="0.25">
      <c r="A305" s="1" t="s">
        <v>638</v>
      </c>
      <c r="B305" s="1" t="s">
        <v>735</v>
      </c>
      <c r="C305" s="13">
        <v>208000</v>
      </c>
      <c r="D305" s="23">
        <f t="shared" si="4"/>
        <v>104000</v>
      </c>
    </row>
    <row r="306" spans="1:4" x14ac:dyDescent="0.25">
      <c r="A306" s="1" t="s">
        <v>639</v>
      </c>
      <c r="B306" s="1" t="s">
        <v>737</v>
      </c>
      <c r="C306" s="13">
        <v>124000</v>
      </c>
      <c r="D306" s="23">
        <f t="shared" si="4"/>
        <v>12400</v>
      </c>
    </row>
    <row r="307" spans="1:4" x14ac:dyDescent="0.25">
      <c r="A307" s="1" t="s">
        <v>640</v>
      </c>
      <c r="B307" s="1" t="s">
        <v>737</v>
      </c>
      <c r="C307" s="13">
        <v>365000</v>
      </c>
      <c r="D307" s="23">
        <f t="shared" si="4"/>
        <v>36500</v>
      </c>
    </row>
    <row r="308" spans="1:4" x14ac:dyDescent="0.25">
      <c r="A308" s="1" t="s">
        <v>641</v>
      </c>
      <c r="B308" s="1" t="s">
        <v>735</v>
      </c>
      <c r="C308" s="13">
        <v>396000</v>
      </c>
      <c r="D308" s="23">
        <f t="shared" si="4"/>
        <v>198000</v>
      </c>
    </row>
    <row r="309" spans="1:4" x14ac:dyDescent="0.25">
      <c r="A309" s="1" t="s">
        <v>642</v>
      </c>
      <c r="B309" s="1" t="s">
        <v>735</v>
      </c>
      <c r="C309" s="13">
        <v>206000</v>
      </c>
      <c r="D309" s="23">
        <f t="shared" si="4"/>
        <v>103000</v>
      </c>
    </row>
    <row r="310" spans="1:4" x14ac:dyDescent="0.25">
      <c r="A310" s="1" t="s">
        <v>643</v>
      </c>
      <c r="B310" s="1" t="s">
        <v>736</v>
      </c>
      <c r="C310" s="13">
        <v>274000</v>
      </c>
      <c r="D310" s="23">
        <f t="shared" si="4"/>
        <v>68500</v>
      </c>
    </row>
    <row r="311" spans="1:4" x14ac:dyDescent="0.25">
      <c r="A311" s="1" t="s">
        <v>644</v>
      </c>
      <c r="B311" s="1" t="s">
        <v>737</v>
      </c>
      <c r="C311" s="13">
        <v>439000</v>
      </c>
      <c r="D311" s="23">
        <f t="shared" si="4"/>
        <v>43900</v>
      </c>
    </row>
    <row r="312" spans="1:4" x14ac:dyDescent="0.25">
      <c r="A312" s="1" t="s">
        <v>645</v>
      </c>
      <c r="B312" s="1" t="s">
        <v>736</v>
      </c>
      <c r="C312" s="13">
        <v>407000</v>
      </c>
      <c r="D312" s="23">
        <f t="shared" si="4"/>
        <v>101750</v>
      </c>
    </row>
    <row r="313" spans="1:4" x14ac:dyDescent="0.25">
      <c r="A313" s="1" t="s">
        <v>646</v>
      </c>
      <c r="B313" s="1" t="s">
        <v>737</v>
      </c>
      <c r="C313" s="13">
        <v>325000</v>
      </c>
      <c r="D313" s="23">
        <f t="shared" si="4"/>
        <v>32500</v>
      </c>
    </row>
    <row r="314" spans="1:4" x14ac:dyDescent="0.25">
      <c r="A314" s="1" t="s">
        <v>647</v>
      </c>
      <c r="B314" s="1" t="s">
        <v>735</v>
      </c>
      <c r="C314" s="13">
        <v>178000</v>
      </c>
      <c r="D314" s="23">
        <f t="shared" si="4"/>
        <v>89000</v>
      </c>
    </row>
    <row r="315" spans="1:4" x14ac:dyDescent="0.25">
      <c r="A315" s="1" t="s">
        <v>648</v>
      </c>
      <c r="B315" s="1" t="s">
        <v>735</v>
      </c>
      <c r="C315" s="13">
        <v>423000</v>
      </c>
      <c r="D315" s="23">
        <f t="shared" si="4"/>
        <v>211500</v>
      </c>
    </row>
    <row r="316" spans="1:4" x14ac:dyDescent="0.25">
      <c r="A316" s="1" t="s">
        <v>649</v>
      </c>
      <c r="B316" s="1" t="s">
        <v>738</v>
      </c>
      <c r="C316" s="13">
        <v>439000</v>
      </c>
      <c r="D316" s="23">
        <f t="shared" si="4"/>
        <v>21950</v>
      </c>
    </row>
    <row r="317" spans="1:4" x14ac:dyDescent="0.25">
      <c r="A317" s="1" t="s">
        <v>650</v>
      </c>
      <c r="B317" s="1" t="s">
        <v>736</v>
      </c>
      <c r="C317" s="13">
        <v>315000</v>
      </c>
      <c r="D317" s="23">
        <f t="shared" si="4"/>
        <v>78750</v>
      </c>
    </row>
    <row r="318" spans="1:4" x14ac:dyDescent="0.25">
      <c r="A318" s="1" t="s">
        <v>651</v>
      </c>
      <c r="B318" s="1" t="s">
        <v>735</v>
      </c>
      <c r="C318" s="13">
        <v>483000</v>
      </c>
      <c r="D318" s="23">
        <f t="shared" si="4"/>
        <v>241500</v>
      </c>
    </row>
    <row r="319" spans="1:4" x14ac:dyDescent="0.25">
      <c r="A319" s="1" t="s">
        <v>652</v>
      </c>
      <c r="B319" s="1" t="s">
        <v>738</v>
      </c>
      <c r="C319" s="13">
        <v>298000</v>
      </c>
      <c r="D319" s="23">
        <f t="shared" si="4"/>
        <v>14900</v>
      </c>
    </row>
    <row r="320" spans="1:4" x14ac:dyDescent="0.25">
      <c r="A320" s="1" t="s">
        <v>653</v>
      </c>
      <c r="B320" s="1" t="s">
        <v>737</v>
      </c>
      <c r="C320" s="13">
        <v>379000</v>
      </c>
      <c r="D320" s="23">
        <f t="shared" si="4"/>
        <v>37900</v>
      </c>
    </row>
    <row r="321" spans="1:4" x14ac:dyDescent="0.25">
      <c r="A321" s="1" t="s">
        <v>654</v>
      </c>
      <c r="B321" s="1" t="s">
        <v>738</v>
      </c>
      <c r="C321" s="13">
        <v>480000</v>
      </c>
      <c r="D321" s="23">
        <f t="shared" si="4"/>
        <v>24000</v>
      </c>
    </row>
    <row r="322" spans="1:4" x14ac:dyDescent="0.25">
      <c r="A322" s="1" t="s">
        <v>655</v>
      </c>
      <c r="B322" s="1" t="s">
        <v>738</v>
      </c>
      <c r="C322" s="13">
        <v>115000</v>
      </c>
      <c r="D322" s="23">
        <f t="shared" si="4"/>
        <v>5750</v>
      </c>
    </row>
    <row r="323" spans="1:4" x14ac:dyDescent="0.25">
      <c r="A323" s="1" t="s">
        <v>656</v>
      </c>
      <c r="B323" s="1" t="s">
        <v>737</v>
      </c>
      <c r="C323" s="13">
        <v>384000</v>
      </c>
      <c r="D323" s="23">
        <f t="shared" ref="D323:D386" si="5">IF(B323=$G$2,C323*$H$2,IF(B323=$G$3,C323*$H$3,IF(B323=$G$4,C323*$H$4,C323*$H$5)))</f>
        <v>38400</v>
      </c>
    </row>
    <row r="324" spans="1:4" x14ac:dyDescent="0.25">
      <c r="A324" s="1" t="s">
        <v>657</v>
      </c>
      <c r="B324" s="1" t="s">
        <v>737</v>
      </c>
      <c r="C324" s="13">
        <v>450000</v>
      </c>
      <c r="D324" s="23">
        <f t="shared" si="5"/>
        <v>45000</v>
      </c>
    </row>
    <row r="325" spans="1:4" x14ac:dyDescent="0.25">
      <c r="A325" s="1" t="s">
        <v>658</v>
      </c>
      <c r="B325" s="1" t="s">
        <v>737</v>
      </c>
      <c r="C325" s="13">
        <v>328000</v>
      </c>
      <c r="D325" s="23">
        <f t="shared" si="5"/>
        <v>32800</v>
      </c>
    </row>
    <row r="326" spans="1:4" x14ac:dyDescent="0.25">
      <c r="A326" s="1" t="s">
        <v>659</v>
      </c>
      <c r="B326" s="1" t="s">
        <v>738</v>
      </c>
      <c r="C326" s="13">
        <v>145000</v>
      </c>
      <c r="D326" s="23">
        <f t="shared" si="5"/>
        <v>7250</v>
      </c>
    </row>
    <row r="327" spans="1:4" x14ac:dyDescent="0.25">
      <c r="A327" s="1" t="s">
        <v>660</v>
      </c>
      <c r="B327" s="1" t="s">
        <v>735</v>
      </c>
      <c r="C327" s="13">
        <v>124000</v>
      </c>
      <c r="D327" s="23">
        <f t="shared" si="5"/>
        <v>62000</v>
      </c>
    </row>
    <row r="328" spans="1:4" x14ac:dyDescent="0.25">
      <c r="A328" s="1" t="s">
        <v>661</v>
      </c>
      <c r="B328" s="1" t="s">
        <v>735</v>
      </c>
      <c r="C328" s="13">
        <v>340000</v>
      </c>
      <c r="D328" s="23">
        <f t="shared" si="5"/>
        <v>170000</v>
      </c>
    </row>
    <row r="329" spans="1:4" x14ac:dyDescent="0.25">
      <c r="A329" s="1" t="s">
        <v>662</v>
      </c>
      <c r="B329" s="1" t="s">
        <v>736</v>
      </c>
      <c r="C329" s="13">
        <v>473000</v>
      </c>
      <c r="D329" s="23">
        <f t="shared" si="5"/>
        <v>118250</v>
      </c>
    </row>
    <row r="330" spans="1:4" x14ac:dyDescent="0.25">
      <c r="A330" s="1" t="s">
        <v>663</v>
      </c>
      <c r="B330" s="1" t="s">
        <v>737</v>
      </c>
      <c r="C330" s="13">
        <v>372000</v>
      </c>
      <c r="D330" s="23">
        <f t="shared" si="5"/>
        <v>37200</v>
      </c>
    </row>
    <row r="331" spans="1:4" x14ac:dyDescent="0.25">
      <c r="A331" s="1" t="s">
        <v>664</v>
      </c>
      <c r="B331" s="1" t="s">
        <v>736</v>
      </c>
      <c r="C331" s="13">
        <v>187000</v>
      </c>
      <c r="D331" s="23">
        <f t="shared" si="5"/>
        <v>46750</v>
      </c>
    </row>
    <row r="332" spans="1:4" x14ac:dyDescent="0.25">
      <c r="A332" s="1" t="s">
        <v>665</v>
      </c>
      <c r="B332" s="1" t="s">
        <v>737</v>
      </c>
      <c r="C332" s="13">
        <v>278000</v>
      </c>
      <c r="D332" s="23">
        <f t="shared" si="5"/>
        <v>27800</v>
      </c>
    </row>
    <row r="333" spans="1:4" x14ac:dyDescent="0.25">
      <c r="A333" s="1" t="s">
        <v>666</v>
      </c>
      <c r="B333" s="1" t="s">
        <v>736</v>
      </c>
      <c r="C333" s="13">
        <v>110000</v>
      </c>
      <c r="D333" s="23">
        <f t="shared" si="5"/>
        <v>27500</v>
      </c>
    </row>
    <row r="334" spans="1:4" x14ac:dyDescent="0.25">
      <c r="A334" s="1" t="s">
        <v>667</v>
      </c>
      <c r="B334" s="1" t="s">
        <v>735</v>
      </c>
      <c r="C334" s="13">
        <v>195000</v>
      </c>
      <c r="D334" s="23">
        <f t="shared" si="5"/>
        <v>97500</v>
      </c>
    </row>
    <row r="335" spans="1:4" x14ac:dyDescent="0.25">
      <c r="A335" s="1" t="s">
        <v>668</v>
      </c>
      <c r="B335" s="1" t="s">
        <v>737</v>
      </c>
      <c r="C335" s="13">
        <v>311000</v>
      </c>
      <c r="D335" s="23">
        <f t="shared" si="5"/>
        <v>31100</v>
      </c>
    </row>
    <row r="336" spans="1:4" x14ac:dyDescent="0.25">
      <c r="A336" s="1" t="s">
        <v>669</v>
      </c>
      <c r="B336" s="1" t="s">
        <v>737</v>
      </c>
      <c r="C336" s="13">
        <v>342000</v>
      </c>
      <c r="D336" s="23">
        <f t="shared" si="5"/>
        <v>34200</v>
      </c>
    </row>
    <row r="337" spans="1:4" x14ac:dyDescent="0.25">
      <c r="A337" s="1" t="s">
        <v>670</v>
      </c>
      <c r="B337" s="1" t="s">
        <v>737</v>
      </c>
      <c r="C337" s="13">
        <v>124000</v>
      </c>
      <c r="D337" s="23">
        <f t="shared" si="5"/>
        <v>12400</v>
      </c>
    </row>
    <row r="338" spans="1:4" x14ac:dyDescent="0.25">
      <c r="A338" s="1" t="s">
        <v>671</v>
      </c>
      <c r="B338" s="1" t="s">
        <v>736</v>
      </c>
      <c r="C338" s="13">
        <v>149000</v>
      </c>
      <c r="D338" s="23">
        <f t="shared" si="5"/>
        <v>37250</v>
      </c>
    </row>
    <row r="339" spans="1:4" x14ac:dyDescent="0.25">
      <c r="A339" s="1" t="s">
        <v>672</v>
      </c>
      <c r="B339" s="1" t="s">
        <v>736</v>
      </c>
      <c r="C339" s="13">
        <v>405000</v>
      </c>
      <c r="D339" s="23">
        <f t="shared" si="5"/>
        <v>101250</v>
      </c>
    </row>
    <row r="340" spans="1:4" x14ac:dyDescent="0.25">
      <c r="A340" s="1" t="s">
        <v>673</v>
      </c>
      <c r="B340" s="1" t="s">
        <v>735</v>
      </c>
      <c r="C340" s="13">
        <v>254000</v>
      </c>
      <c r="D340" s="23">
        <f t="shared" si="5"/>
        <v>127000</v>
      </c>
    </row>
    <row r="341" spans="1:4" x14ac:dyDescent="0.25">
      <c r="A341" s="1" t="s">
        <v>674</v>
      </c>
      <c r="B341" s="1" t="s">
        <v>736</v>
      </c>
      <c r="C341" s="13">
        <v>106000</v>
      </c>
      <c r="D341" s="23">
        <f t="shared" si="5"/>
        <v>26500</v>
      </c>
    </row>
    <row r="342" spans="1:4" x14ac:dyDescent="0.25">
      <c r="A342" s="1" t="s">
        <v>675</v>
      </c>
      <c r="B342" s="1" t="s">
        <v>737</v>
      </c>
      <c r="C342" s="13">
        <v>169000</v>
      </c>
      <c r="D342" s="23">
        <f t="shared" si="5"/>
        <v>16900</v>
      </c>
    </row>
    <row r="343" spans="1:4" x14ac:dyDescent="0.25">
      <c r="A343" s="1" t="s">
        <v>676</v>
      </c>
      <c r="B343" s="1" t="s">
        <v>737</v>
      </c>
      <c r="C343" s="13">
        <v>494000</v>
      </c>
      <c r="D343" s="23">
        <f t="shared" si="5"/>
        <v>49400</v>
      </c>
    </row>
    <row r="344" spans="1:4" x14ac:dyDescent="0.25">
      <c r="A344" s="1" t="s">
        <v>677</v>
      </c>
      <c r="B344" s="1" t="s">
        <v>736</v>
      </c>
      <c r="C344" s="13">
        <v>293000</v>
      </c>
      <c r="D344" s="23">
        <f t="shared" si="5"/>
        <v>73250</v>
      </c>
    </row>
    <row r="345" spans="1:4" x14ac:dyDescent="0.25">
      <c r="A345" s="1" t="s">
        <v>678</v>
      </c>
      <c r="B345" s="1" t="s">
        <v>736</v>
      </c>
      <c r="C345" s="13">
        <v>492000</v>
      </c>
      <c r="D345" s="23">
        <f t="shared" si="5"/>
        <v>123000</v>
      </c>
    </row>
    <row r="346" spans="1:4" x14ac:dyDescent="0.25">
      <c r="A346" s="1" t="s">
        <v>679</v>
      </c>
      <c r="B346" s="1" t="s">
        <v>736</v>
      </c>
      <c r="C346" s="13">
        <v>242000</v>
      </c>
      <c r="D346" s="23">
        <f t="shared" si="5"/>
        <v>60500</v>
      </c>
    </row>
    <row r="347" spans="1:4" x14ac:dyDescent="0.25">
      <c r="A347" s="1" t="s">
        <v>680</v>
      </c>
      <c r="B347" s="1" t="s">
        <v>735</v>
      </c>
      <c r="C347" s="13">
        <v>299000</v>
      </c>
      <c r="D347" s="23">
        <f t="shared" si="5"/>
        <v>149500</v>
      </c>
    </row>
    <row r="348" spans="1:4" x14ac:dyDescent="0.25">
      <c r="A348" s="1" t="s">
        <v>681</v>
      </c>
      <c r="B348" s="1" t="s">
        <v>735</v>
      </c>
      <c r="C348" s="13">
        <v>345000</v>
      </c>
      <c r="D348" s="23">
        <f t="shared" si="5"/>
        <v>172500</v>
      </c>
    </row>
    <row r="349" spans="1:4" x14ac:dyDescent="0.25">
      <c r="A349" s="1" t="s">
        <v>682</v>
      </c>
      <c r="B349" s="1" t="s">
        <v>738</v>
      </c>
      <c r="C349" s="13">
        <v>445000</v>
      </c>
      <c r="D349" s="23">
        <f t="shared" si="5"/>
        <v>22250</v>
      </c>
    </row>
    <row r="350" spans="1:4" x14ac:dyDescent="0.25">
      <c r="A350" s="1" t="s">
        <v>683</v>
      </c>
      <c r="B350" s="1" t="s">
        <v>735</v>
      </c>
      <c r="C350" s="13">
        <v>138000</v>
      </c>
      <c r="D350" s="23">
        <f t="shared" si="5"/>
        <v>69000</v>
      </c>
    </row>
    <row r="351" spans="1:4" x14ac:dyDescent="0.25">
      <c r="A351" s="1" t="s">
        <v>684</v>
      </c>
      <c r="B351" s="1" t="s">
        <v>737</v>
      </c>
      <c r="C351" s="13">
        <v>221000</v>
      </c>
      <c r="D351" s="23">
        <f t="shared" si="5"/>
        <v>22100</v>
      </c>
    </row>
    <row r="352" spans="1:4" x14ac:dyDescent="0.25">
      <c r="A352" s="1" t="s">
        <v>685</v>
      </c>
      <c r="B352" s="1" t="s">
        <v>736</v>
      </c>
      <c r="C352" s="13">
        <v>110000</v>
      </c>
      <c r="D352" s="23">
        <f t="shared" si="5"/>
        <v>27500</v>
      </c>
    </row>
    <row r="353" spans="1:4" x14ac:dyDescent="0.25">
      <c r="A353" s="1" t="s">
        <v>686</v>
      </c>
      <c r="B353" s="1" t="s">
        <v>736</v>
      </c>
      <c r="C353" s="13">
        <v>203000</v>
      </c>
      <c r="D353" s="23">
        <f t="shared" si="5"/>
        <v>50750</v>
      </c>
    </row>
    <row r="354" spans="1:4" x14ac:dyDescent="0.25">
      <c r="A354" s="1" t="s">
        <v>687</v>
      </c>
      <c r="B354" s="1" t="s">
        <v>735</v>
      </c>
      <c r="C354" s="13">
        <v>396000</v>
      </c>
      <c r="D354" s="23">
        <f t="shared" si="5"/>
        <v>198000</v>
      </c>
    </row>
    <row r="355" spans="1:4" x14ac:dyDescent="0.25">
      <c r="A355" s="1" t="s">
        <v>688</v>
      </c>
      <c r="B355" s="1" t="s">
        <v>738</v>
      </c>
      <c r="C355" s="13">
        <v>214000</v>
      </c>
      <c r="D355" s="23">
        <f t="shared" si="5"/>
        <v>10700</v>
      </c>
    </row>
    <row r="356" spans="1:4" x14ac:dyDescent="0.25">
      <c r="A356" s="1" t="s">
        <v>689</v>
      </c>
      <c r="B356" s="1" t="s">
        <v>738</v>
      </c>
      <c r="C356" s="13">
        <v>435000</v>
      </c>
      <c r="D356" s="23">
        <f t="shared" si="5"/>
        <v>21750</v>
      </c>
    </row>
    <row r="357" spans="1:4" x14ac:dyDescent="0.25">
      <c r="A357" s="1" t="s">
        <v>690</v>
      </c>
      <c r="B357" s="1" t="s">
        <v>735</v>
      </c>
      <c r="C357" s="13">
        <v>454000</v>
      </c>
      <c r="D357" s="23">
        <f t="shared" si="5"/>
        <v>227000</v>
      </c>
    </row>
    <row r="358" spans="1:4" x14ac:dyDescent="0.25">
      <c r="A358" s="1" t="s">
        <v>691</v>
      </c>
      <c r="B358" s="1" t="s">
        <v>736</v>
      </c>
      <c r="C358" s="13">
        <v>259000</v>
      </c>
      <c r="D358" s="23">
        <f t="shared" si="5"/>
        <v>64750</v>
      </c>
    </row>
    <row r="359" spans="1:4" x14ac:dyDescent="0.25">
      <c r="A359" s="1" t="s">
        <v>692</v>
      </c>
      <c r="B359" s="1" t="s">
        <v>735</v>
      </c>
      <c r="C359" s="13">
        <v>241000</v>
      </c>
      <c r="D359" s="23">
        <f t="shared" si="5"/>
        <v>120500</v>
      </c>
    </row>
    <row r="360" spans="1:4" x14ac:dyDescent="0.25">
      <c r="A360" s="1" t="s">
        <v>693</v>
      </c>
      <c r="B360" s="1" t="s">
        <v>738</v>
      </c>
      <c r="C360" s="13">
        <v>194000</v>
      </c>
      <c r="D360" s="23">
        <f t="shared" si="5"/>
        <v>9700</v>
      </c>
    </row>
    <row r="361" spans="1:4" x14ac:dyDescent="0.25">
      <c r="A361" s="1" t="s">
        <v>694</v>
      </c>
      <c r="B361" s="1" t="s">
        <v>737</v>
      </c>
      <c r="C361" s="13">
        <v>100000</v>
      </c>
      <c r="D361" s="23">
        <f t="shared" si="5"/>
        <v>10000</v>
      </c>
    </row>
    <row r="362" spans="1:4" x14ac:dyDescent="0.25">
      <c r="A362" s="1" t="s">
        <v>695</v>
      </c>
      <c r="B362" s="1" t="s">
        <v>738</v>
      </c>
      <c r="C362" s="13">
        <v>322000</v>
      </c>
      <c r="D362" s="23">
        <f t="shared" si="5"/>
        <v>16100</v>
      </c>
    </row>
    <row r="363" spans="1:4" x14ac:dyDescent="0.25">
      <c r="A363" s="1" t="s">
        <v>696</v>
      </c>
      <c r="B363" s="1" t="s">
        <v>737</v>
      </c>
      <c r="C363" s="13">
        <v>278000</v>
      </c>
      <c r="D363" s="23">
        <f t="shared" si="5"/>
        <v>27800</v>
      </c>
    </row>
    <row r="364" spans="1:4" x14ac:dyDescent="0.25">
      <c r="A364" s="1" t="s">
        <v>697</v>
      </c>
      <c r="B364" s="1" t="s">
        <v>736</v>
      </c>
      <c r="C364" s="13">
        <v>119000</v>
      </c>
      <c r="D364" s="23">
        <f t="shared" si="5"/>
        <v>29750</v>
      </c>
    </row>
    <row r="365" spans="1:4" x14ac:dyDescent="0.25">
      <c r="A365" s="1" t="s">
        <v>698</v>
      </c>
      <c r="B365" s="1" t="s">
        <v>738</v>
      </c>
      <c r="C365" s="13">
        <v>264000</v>
      </c>
      <c r="D365" s="23">
        <f t="shared" si="5"/>
        <v>13200</v>
      </c>
    </row>
    <row r="366" spans="1:4" x14ac:dyDescent="0.25">
      <c r="A366" s="1" t="s">
        <v>699</v>
      </c>
      <c r="B366" s="1" t="s">
        <v>735</v>
      </c>
      <c r="C366" s="13">
        <v>460000</v>
      </c>
      <c r="D366" s="23">
        <f t="shared" si="5"/>
        <v>230000</v>
      </c>
    </row>
    <row r="367" spans="1:4" x14ac:dyDescent="0.25">
      <c r="A367" s="1" t="s">
        <v>700</v>
      </c>
      <c r="B367" s="1" t="s">
        <v>738</v>
      </c>
      <c r="C367" s="13">
        <v>125000</v>
      </c>
      <c r="D367" s="23">
        <f t="shared" si="5"/>
        <v>6250</v>
      </c>
    </row>
    <row r="368" spans="1:4" x14ac:dyDescent="0.25">
      <c r="A368" s="1" t="s">
        <v>701</v>
      </c>
      <c r="B368" s="1" t="s">
        <v>738</v>
      </c>
      <c r="C368" s="13">
        <v>208000</v>
      </c>
      <c r="D368" s="23">
        <f t="shared" si="5"/>
        <v>10400</v>
      </c>
    </row>
    <row r="369" spans="1:4" x14ac:dyDescent="0.25">
      <c r="A369" s="1" t="s">
        <v>702</v>
      </c>
      <c r="B369" s="1" t="s">
        <v>737</v>
      </c>
      <c r="C369" s="13">
        <v>150000</v>
      </c>
      <c r="D369" s="23">
        <f t="shared" si="5"/>
        <v>15000</v>
      </c>
    </row>
    <row r="370" spans="1:4" x14ac:dyDescent="0.25">
      <c r="A370" s="1" t="s">
        <v>703</v>
      </c>
      <c r="B370" s="1" t="s">
        <v>738</v>
      </c>
      <c r="C370" s="13">
        <v>177000</v>
      </c>
      <c r="D370" s="23">
        <f t="shared" si="5"/>
        <v>8850</v>
      </c>
    </row>
    <row r="371" spans="1:4" x14ac:dyDescent="0.25">
      <c r="A371" s="1" t="s">
        <v>704</v>
      </c>
      <c r="B371" s="1" t="s">
        <v>738</v>
      </c>
      <c r="C371" s="13">
        <v>180000</v>
      </c>
      <c r="D371" s="23">
        <f t="shared" si="5"/>
        <v>9000</v>
      </c>
    </row>
    <row r="372" spans="1:4" x14ac:dyDescent="0.25">
      <c r="A372" s="1" t="s">
        <v>705</v>
      </c>
      <c r="B372" s="1" t="s">
        <v>735</v>
      </c>
      <c r="C372" s="13">
        <v>448000</v>
      </c>
      <c r="D372" s="23">
        <f t="shared" si="5"/>
        <v>224000</v>
      </c>
    </row>
    <row r="373" spans="1:4" x14ac:dyDescent="0.25">
      <c r="A373" s="1" t="s">
        <v>706</v>
      </c>
      <c r="B373" s="1" t="s">
        <v>738</v>
      </c>
      <c r="C373" s="13">
        <v>485000</v>
      </c>
      <c r="D373" s="23">
        <f t="shared" si="5"/>
        <v>24250</v>
      </c>
    </row>
    <row r="374" spans="1:4" x14ac:dyDescent="0.25">
      <c r="A374" s="1" t="s">
        <v>707</v>
      </c>
      <c r="B374" s="1" t="s">
        <v>736</v>
      </c>
      <c r="C374" s="13">
        <v>266000</v>
      </c>
      <c r="D374" s="23">
        <f t="shared" si="5"/>
        <v>66500</v>
      </c>
    </row>
    <row r="375" spans="1:4" x14ac:dyDescent="0.25">
      <c r="A375" s="1" t="s">
        <v>708</v>
      </c>
      <c r="B375" s="1" t="s">
        <v>736</v>
      </c>
      <c r="C375" s="13">
        <v>242000</v>
      </c>
      <c r="D375" s="23">
        <f t="shared" si="5"/>
        <v>60500</v>
      </c>
    </row>
    <row r="376" spans="1:4" x14ac:dyDescent="0.25">
      <c r="A376" s="1" t="s">
        <v>709</v>
      </c>
      <c r="B376" s="1" t="s">
        <v>737</v>
      </c>
      <c r="C376" s="13">
        <v>449000</v>
      </c>
      <c r="D376" s="23">
        <f t="shared" si="5"/>
        <v>44900</v>
      </c>
    </row>
    <row r="377" spans="1:4" x14ac:dyDescent="0.25">
      <c r="A377" s="1" t="s">
        <v>710</v>
      </c>
      <c r="B377" s="1" t="s">
        <v>736</v>
      </c>
      <c r="C377" s="13">
        <v>287000</v>
      </c>
      <c r="D377" s="23">
        <f t="shared" si="5"/>
        <v>71750</v>
      </c>
    </row>
    <row r="378" spans="1:4" x14ac:dyDescent="0.25">
      <c r="A378" s="1" t="s">
        <v>711</v>
      </c>
      <c r="B378" s="1" t="s">
        <v>736</v>
      </c>
      <c r="C378" s="13">
        <v>208000</v>
      </c>
      <c r="D378" s="23">
        <f t="shared" si="5"/>
        <v>52000</v>
      </c>
    </row>
    <row r="379" spans="1:4" x14ac:dyDescent="0.25">
      <c r="A379" s="1" t="s">
        <v>712</v>
      </c>
      <c r="B379" s="1" t="s">
        <v>737</v>
      </c>
      <c r="C379" s="13">
        <v>421000</v>
      </c>
      <c r="D379" s="23">
        <f t="shared" si="5"/>
        <v>42100</v>
      </c>
    </row>
    <row r="380" spans="1:4" x14ac:dyDescent="0.25">
      <c r="A380" s="1" t="s">
        <v>713</v>
      </c>
      <c r="B380" s="1" t="s">
        <v>737</v>
      </c>
      <c r="C380" s="13">
        <v>165000</v>
      </c>
      <c r="D380" s="23">
        <f t="shared" si="5"/>
        <v>16500</v>
      </c>
    </row>
    <row r="381" spans="1:4" x14ac:dyDescent="0.25">
      <c r="A381" s="1" t="s">
        <v>714</v>
      </c>
      <c r="B381" s="1" t="s">
        <v>736</v>
      </c>
      <c r="C381" s="13">
        <v>177000</v>
      </c>
      <c r="D381" s="23">
        <f t="shared" si="5"/>
        <v>44250</v>
      </c>
    </row>
    <row r="382" spans="1:4" x14ac:dyDescent="0.25">
      <c r="A382" s="1" t="s">
        <v>715</v>
      </c>
      <c r="B382" s="1" t="s">
        <v>738</v>
      </c>
      <c r="C382" s="13">
        <v>447000</v>
      </c>
      <c r="D382" s="23">
        <f t="shared" si="5"/>
        <v>22350</v>
      </c>
    </row>
    <row r="383" spans="1:4" x14ac:dyDescent="0.25">
      <c r="A383" s="1" t="s">
        <v>716</v>
      </c>
      <c r="B383" s="1" t="s">
        <v>736</v>
      </c>
      <c r="C383" s="13">
        <v>383000</v>
      </c>
      <c r="D383" s="23">
        <f t="shared" si="5"/>
        <v>95750</v>
      </c>
    </row>
    <row r="384" spans="1:4" x14ac:dyDescent="0.25">
      <c r="A384" s="1" t="s">
        <v>717</v>
      </c>
      <c r="B384" s="1" t="s">
        <v>735</v>
      </c>
      <c r="C384" s="13">
        <v>144000</v>
      </c>
      <c r="D384" s="23">
        <f t="shared" si="5"/>
        <v>72000</v>
      </c>
    </row>
    <row r="385" spans="1:4" x14ac:dyDescent="0.25">
      <c r="A385" s="1" t="s">
        <v>718</v>
      </c>
      <c r="B385" s="1" t="s">
        <v>737</v>
      </c>
      <c r="C385" s="13">
        <v>261000</v>
      </c>
      <c r="D385" s="23">
        <f t="shared" si="5"/>
        <v>26100</v>
      </c>
    </row>
    <row r="386" spans="1:4" x14ac:dyDescent="0.25">
      <c r="A386" s="1" t="s">
        <v>719</v>
      </c>
      <c r="B386" s="1" t="s">
        <v>737</v>
      </c>
      <c r="C386" s="13">
        <v>399000</v>
      </c>
      <c r="D386" s="23">
        <f t="shared" si="5"/>
        <v>39900</v>
      </c>
    </row>
    <row r="387" spans="1:4" x14ac:dyDescent="0.25">
      <c r="A387" s="1" t="s">
        <v>720</v>
      </c>
      <c r="B387" s="1" t="s">
        <v>736</v>
      </c>
      <c r="C387" s="13">
        <v>402000</v>
      </c>
      <c r="D387" s="23">
        <f t="shared" ref="D387:D401" si="6">IF(B387=$G$2,C387*$H$2,IF(B387=$G$3,C387*$H$3,IF(B387=$G$4,C387*$H$4,C387*$H$5)))</f>
        <v>100500</v>
      </c>
    </row>
    <row r="388" spans="1:4" x14ac:dyDescent="0.25">
      <c r="A388" s="1" t="s">
        <v>721</v>
      </c>
      <c r="B388" s="1" t="s">
        <v>737</v>
      </c>
      <c r="C388" s="13">
        <v>101000</v>
      </c>
      <c r="D388" s="23">
        <f t="shared" si="6"/>
        <v>10100</v>
      </c>
    </row>
    <row r="389" spans="1:4" x14ac:dyDescent="0.25">
      <c r="A389" s="1" t="s">
        <v>722</v>
      </c>
      <c r="B389" s="1" t="s">
        <v>735</v>
      </c>
      <c r="C389" s="13">
        <v>265000</v>
      </c>
      <c r="D389" s="23">
        <f t="shared" si="6"/>
        <v>132500</v>
      </c>
    </row>
    <row r="390" spans="1:4" x14ac:dyDescent="0.25">
      <c r="A390" s="1" t="s">
        <v>723</v>
      </c>
      <c r="B390" s="1" t="s">
        <v>735</v>
      </c>
      <c r="C390" s="13">
        <v>363000</v>
      </c>
      <c r="D390" s="23">
        <f t="shared" si="6"/>
        <v>181500</v>
      </c>
    </row>
    <row r="391" spans="1:4" x14ac:dyDescent="0.25">
      <c r="A391" s="1" t="s">
        <v>724</v>
      </c>
      <c r="B391" s="1" t="s">
        <v>736</v>
      </c>
      <c r="C391" s="13">
        <v>215000</v>
      </c>
      <c r="D391" s="23">
        <f t="shared" si="6"/>
        <v>53750</v>
      </c>
    </row>
    <row r="392" spans="1:4" x14ac:dyDescent="0.25">
      <c r="A392" s="1" t="s">
        <v>725</v>
      </c>
      <c r="B392" s="1" t="s">
        <v>735</v>
      </c>
      <c r="C392" s="13">
        <v>157000</v>
      </c>
      <c r="D392" s="23">
        <f t="shared" si="6"/>
        <v>78500</v>
      </c>
    </row>
    <row r="393" spans="1:4" x14ac:dyDescent="0.25">
      <c r="A393" s="1" t="s">
        <v>726</v>
      </c>
      <c r="B393" s="1" t="s">
        <v>735</v>
      </c>
      <c r="C393" s="13">
        <v>401000</v>
      </c>
      <c r="D393" s="23">
        <f t="shared" si="6"/>
        <v>200500</v>
      </c>
    </row>
    <row r="394" spans="1:4" x14ac:dyDescent="0.25">
      <c r="A394" s="1" t="s">
        <v>727</v>
      </c>
      <c r="B394" s="1" t="s">
        <v>738</v>
      </c>
      <c r="C394" s="13">
        <v>134000</v>
      </c>
      <c r="D394" s="23">
        <f t="shared" si="6"/>
        <v>6700</v>
      </c>
    </row>
    <row r="395" spans="1:4" x14ac:dyDescent="0.25">
      <c r="A395" s="1" t="s">
        <v>728</v>
      </c>
      <c r="B395" s="1" t="s">
        <v>735</v>
      </c>
      <c r="C395" s="13">
        <v>170000</v>
      </c>
      <c r="D395" s="23">
        <f t="shared" si="6"/>
        <v>85000</v>
      </c>
    </row>
    <row r="396" spans="1:4" x14ac:dyDescent="0.25">
      <c r="A396" s="1" t="s">
        <v>729</v>
      </c>
      <c r="B396" s="1" t="s">
        <v>737</v>
      </c>
      <c r="C396" s="13">
        <v>103000</v>
      </c>
      <c r="D396" s="23">
        <f t="shared" si="6"/>
        <v>10300</v>
      </c>
    </row>
    <row r="397" spans="1:4" x14ac:dyDescent="0.25">
      <c r="A397" s="1" t="s">
        <v>730</v>
      </c>
      <c r="B397" s="1" t="s">
        <v>737</v>
      </c>
      <c r="C397" s="13">
        <v>297000</v>
      </c>
      <c r="D397" s="23">
        <f t="shared" si="6"/>
        <v>29700</v>
      </c>
    </row>
    <row r="398" spans="1:4" x14ac:dyDescent="0.25">
      <c r="A398" s="1" t="s">
        <v>731</v>
      </c>
      <c r="B398" s="1" t="s">
        <v>737</v>
      </c>
      <c r="C398" s="13">
        <v>141000</v>
      </c>
      <c r="D398" s="23">
        <f t="shared" si="6"/>
        <v>14100</v>
      </c>
    </row>
    <row r="399" spans="1:4" x14ac:dyDescent="0.25">
      <c r="A399" s="1" t="s">
        <v>732</v>
      </c>
      <c r="B399" s="1" t="s">
        <v>735</v>
      </c>
      <c r="C399" s="13">
        <v>279000</v>
      </c>
      <c r="D399" s="23">
        <f t="shared" si="6"/>
        <v>139500</v>
      </c>
    </row>
    <row r="400" spans="1:4" x14ac:dyDescent="0.25">
      <c r="A400" s="1" t="s">
        <v>733</v>
      </c>
      <c r="B400" s="1" t="s">
        <v>737</v>
      </c>
      <c r="C400" s="13">
        <v>247000</v>
      </c>
      <c r="D400" s="23">
        <f t="shared" si="6"/>
        <v>24700</v>
      </c>
    </row>
    <row r="401" spans="1:4" x14ac:dyDescent="0.25">
      <c r="A401" s="1" t="s">
        <v>734</v>
      </c>
      <c r="B401" s="1" t="s">
        <v>737</v>
      </c>
      <c r="C401" s="13">
        <v>220000</v>
      </c>
      <c r="D401" s="23">
        <f t="shared" si="6"/>
        <v>22000</v>
      </c>
    </row>
  </sheetData>
  <phoneticPr fontId="6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2FA5D-9351-41D3-8C94-970B4E969281}">
  <dimension ref="A1:I16"/>
  <sheetViews>
    <sheetView showGridLines="0" tabSelected="1" zoomScale="120" zoomScaleNormal="120" workbookViewId="0">
      <selection activeCell="F10" sqref="F10"/>
    </sheetView>
  </sheetViews>
  <sheetFormatPr defaultRowHeight="15" x14ac:dyDescent="0.25"/>
  <cols>
    <col min="1" max="1" width="14.28515625" style="18" customWidth="1"/>
    <col min="2" max="2" width="14.28515625" style="31" customWidth="1"/>
    <col min="3" max="3" width="11.42578125" style="35" bestFit="1" customWidth="1"/>
    <col min="4" max="4" width="13.140625" customWidth="1"/>
    <col min="7" max="9" width="12.28515625" customWidth="1"/>
  </cols>
  <sheetData>
    <row r="1" spans="1:9" x14ac:dyDescent="0.25">
      <c r="A1" s="29" t="s">
        <v>741</v>
      </c>
      <c r="B1" s="30" t="s">
        <v>758</v>
      </c>
      <c r="C1" s="32" t="s">
        <v>757</v>
      </c>
      <c r="D1" s="29" t="s">
        <v>759</v>
      </c>
      <c r="G1" s="36" t="s">
        <v>760</v>
      </c>
      <c r="H1" s="36"/>
      <c r="I1" s="36"/>
    </row>
    <row r="2" spans="1:9" x14ac:dyDescent="0.25">
      <c r="A2" s="27" t="s">
        <v>742</v>
      </c>
      <c r="B2" s="25">
        <v>58729</v>
      </c>
      <c r="C2" s="33">
        <f>IF(Tabela2[[#This Row],[Faturado]]&lt;=$H$3,$I$3,IF(Tabela2[[#This Row],[Faturado]]&lt;=$H$4,$I$4,IF(Tabela2[[#This Row],[Faturado]]&lt;=$H$5,$I$5,IF(Tabela2[[#This Row],[Faturado]]&lt;=$H$6,$I$6,$I$7))))</f>
        <v>0.05</v>
      </c>
      <c r="D2" s="25">
        <f>Tabela2[[#This Row],[Faturado]]*Tabela2[[#This Row],[Bônus]]</f>
        <v>2936.4500000000003</v>
      </c>
      <c r="G2" s="20" t="s">
        <v>328</v>
      </c>
      <c r="H2" s="20" t="s">
        <v>329</v>
      </c>
      <c r="I2" s="20" t="s">
        <v>757</v>
      </c>
    </row>
    <row r="3" spans="1:9" x14ac:dyDescent="0.25">
      <c r="A3" s="28" t="s">
        <v>743</v>
      </c>
      <c r="B3" s="26">
        <v>162517</v>
      </c>
      <c r="C3" s="34">
        <f>IF(Tabela2[[#This Row],[Faturado]]&lt;=$H$3,$I$3,IF(Tabela2[[#This Row],[Faturado]]&lt;=$H$4,$I$4,IF(Tabela2[[#This Row],[Faturado]]&lt;=$H$5,$I$5,IF(Tabela2[[#This Row],[Faturado]]&lt;=$H$6,$I$6,$I$7))))</f>
        <v>0.1</v>
      </c>
      <c r="D3" s="26">
        <f>Tabela2[[#This Row],[Faturado]]*Tabela2[[#This Row],[Bônus]]</f>
        <v>16251.7</v>
      </c>
      <c r="G3" s="21">
        <v>0</v>
      </c>
      <c r="H3" s="21">
        <v>50000</v>
      </c>
      <c r="I3" s="19">
        <v>0.02</v>
      </c>
    </row>
    <row r="4" spans="1:9" x14ac:dyDescent="0.25">
      <c r="A4" s="27" t="s">
        <v>744</v>
      </c>
      <c r="B4" s="25">
        <v>432944</v>
      </c>
      <c r="C4" s="33">
        <f>IF(Tabela2[[#This Row],[Faturado]]&lt;=$H$3,$I$3,IF(Tabela2[[#This Row],[Faturado]]&lt;=$H$4,$I$4,IF(Tabela2[[#This Row],[Faturado]]&lt;=$H$5,$I$5,IF(Tabela2[[#This Row],[Faturado]]&lt;=$H$6,$I$6,$I$7))))</f>
        <v>0.3</v>
      </c>
      <c r="D4" s="25">
        <f>Tabela2[[#This Row],[Faturado]]*Tabela2[[#This Row],[Bônus]]</f>
        <v>129883.2</v>
      </c>
      <c r="G4" s="21">
        <v>50001</v>
      </c>
      <c r="H4" s="21">
        <v>100000</v>
      </c>
      <c r="I4" s="19">
        <v>0.05</v>
      </c>
    </row>
    <row r="5" spans="1:9" x14ac:dyDescent="0.25">
      <c r="A5" s="28" t="s">
        <v>745</v>
      </c>
      <c r="B5" s="26">
        <v>514342</v>
      </c>
      <c r="C5" s="34">
        <f>IF(Tabela2[[#This Row],[Faturado]]&lt;=$H$3,$I$3,IF(Tabela2[[#This Row],[Faturado]]&lt;=$H$4,$I$4,IF(Tabela2[[#This Row],[Faturado]]&lt;=$H$5,$I$5,IF(Tabela2[[#This Row],[Faturado]]&lt;=$H$6,$I$6,$I$7))))</f>
        <v>0.3</v>
      </c>
      <c r="D5" s="26">
        <f>Tabela2[[#This Row],[Faturado]]*Tabela2[[#This Row],[Bônus]]</f>
        <v>154302.6</v>
      </c>
      <c r="G5" s="21">
        <v>100001</v>
      </c>
      <c r="H5" s="21">
        <v>200000</v>
      </c>
      <c r="I5" s="19">
        <v>0.1</v>
      </c>
    </row>
    <row r="6" spans="1:9" x14ac:dyDescent="0.25">
      <c r="A6" s="27" t="s">
        <v>746</v>
      </c>
      <c r="B6" s="25">
        <v>214635</v>
      </c>
      <c r="C6" s="33">
        <f>IF(Tabela2[[#This Row],[Faturado]]&lt;=$H$3,$I$3,IF(Tabela2[[#This Row],[Faturado]]&lt;=$H$4,$I$4,IF(Tabela2[[#This Row],[Faturado]]&lt;=$H$5,$I$5,IF(Tabela2[[#This Row],[Faturado]]&lt;=$H$6,$I$6,$I$7))))</f>
        <v>0.15</v>
      </c>
      <c r="D6" s="25">
        <f>Tabela2[[#This Row],[Faturado]]*Tabela2[[#This Row],[Bônus]]</f>
        <v>32195.25</v>
      </c>
      <c r="G6" s="21">
        <v>200001</v>
      </c>
      <c r="H6" s="21">
        <v>300000</v>
      </c>
      <c r="I6" s="19">
        <v>0.15</v>
      </c>
    </row>
    <row r="7" spans="1:9" x14ac:dyDescent="0.25">
      <c r="A7" s="28" t="s">
        <v>747</v>
      </c>
      <c r="B7" s="26">
        <v>239239</v>
      </c>
      <c r="C7" s="34">
        <f>IF(Tabela2[[#This Row],[Faturado]]&lt;=$H$3,$I$3,IF(Tabela2[[#This Row],[Faturado]]&lt;=$H$4,$I$4,IF(Tabela2[[#This Row],[Faturado]]&lt;=$H$5,$I$5,IF(Tabela2[[#This Row],[Faturado]]&lt;=$H$6,$I$6,$I$7))))</f>
        <v>0.15</v>
      </c>
      <c r="D7" s="26">
        <f>Tabela2[[#This Row],[Faturado]]*Tabela2[[#This Row],[Bônus]]</f>
        <v>35885.85</v>
      </c>
      <c r="G7" s="21">
        <v>300001</v>
      </c>
      <c r="H7" s="21" t="s">
        <v>330</v>
      </c>
      <c r="I7" s="19">
        <v>0.3</v>
      </c>
    </row>
    <row r="8" spans="1:9" x14ac:dyDescent="0.25">
      <c r="A8" s="27" t="s">
        <v>748</v>
      </c>
      <c r="B8" s="25">
        <v>40622</v>
      </c>
      <c r="C8" s="33">
        <f>IF(Tabela2[[#This Row],[Faturado]]&lt;=$H$3,$I$3,IF(Tabela2[[#This Row],[Faturado]]&lt;=$H$4,$I$4,IF(Tabela2[[#This Row],[Faturado]]&lt;=$H$5,$I$5,IF(Tabela2[[#This Row],[Faturado]]&lt;=$H$6,$I$6,$I$7))))</f>
        <v>0.02</v>
      </c>
      <c r="D8" s="25">
        <f>Tabela2[[#This Row],[Faturado]]*Tabela2[[#This Row],[Bônus]]</f>
        <v>812.44</v>
      </c>
    </row>
    <row r="9" spans="1:9" x14ac:dyDescent="0.25">
      <c r="A9" s="28" t="s">
        <v>749</v>
      </c>
      <c r="B9" s="26">
        <v>389479</v>
      </c>
      <c r="C9" s="34">
        <f>IF(Tabela2[[#This Row],[Faturado]]&lt;=$H$3,$I$3,IF(Tabela2[[#This Row],[Faturado]]&lt;=$H$4,$I$4,IF(Tabela2[[#This Row],[Faturado]]&lt;=$H$5,$I$5,IF(Tabela2[[#This Row],[Faturado]]&lt;=$H$6,$I$6,$I$7))))</f>
        <v>0.3</v>
      </c>
      <c r="D9" s="26">
        <f>Tabela2[[#This Row],[Faturado]]*Tabela2[[#This Row],[Bônus]]</f>
        <v>116843.7</v>
      </c>
    </row>
    <row r="10" spans="1:9" x14ac:dyDescent="0.25">
      <c r="A10" s="27" t="s">
        <v>750</v>
      </c>
      <c r="B10" s="25">
        <v>553835</v>
      </c>
      <c r="C10" s="33">
        <f>IF(Tabela2[[#This Row],[Faturado]]&lt;=$H$3,$I$3,IF(Tabela2[[#This Row],[Faturado]]&lt;=$H$4,$I$4,IF(Tabela2[[#This Row],[Faturado]]&lt;=$H$5,$I$5,IF(Tabela2[[#This Row],[Faturado]]&lt;=$H$6,$I$6,$I$7))))</f>
        <v>0.3</v>
      </c>
      <c r="D10" s="25">
        <f>Tabela2[[#This Row],[Faturado]]*Tabela2[[#This Row],[Bônus]]</f>
        <v>166150.5</v>
      </c>
    </row>
    <row r="11" spans="1:9" x14ac:dyDescent="0.25">
      <c r="A11" s="28" t="s">
        <v>751</v>
      </c>
      <c r="B11" s="26">
        <v>446282</v>
      </c>
      <c r="C11" s="34">
        <f>IF(Tabela2[[#This Row],[Faturado]]&lt;=$H$3,$I$3,IF(Tabela2[[#This Row],[Faturado]]&lt;=$H$4,$I$4,IF(Tabela2[[#This Row],[Faturado]]&lt;=$H$5,$I$5,IF(Tabela2[[#This Row],[Faturado]]&lt;=$H$6,$I$6,$I$7))))</f>
        <v>0.3</v>
      </c>
      <c r="D11" s="26">
        <f>Tabela2[[#This Row],[Faturado]]*Tabela2[[#This Row],[Bônus]]</f>
        <v>133884.6</v>
      </c>
    </row>
    <row r="12" spans="1:9" x14ac:dyDescent="0.25">
      <c r="A12" s="27" t="s">
        <v>752</v>
      </c>
      <c r="B12" s="25">
        <v>310454</v>
      </c>
      <c r="C12" s="33">
        <f>IF(Tabela2[[#This Row],[Faturado]]&lt;=$H$3,$I$3,IF(Tabela2[[#This Row],[Faturado]]&lt;=$H$4,$I$4,IF(Tabela2[[#This Row],[Faturado]]&lt;=$H$5,$I$5,IF(Tabela2[[#This Row],[Faturado]]&lt;=$H$6,$I$6,$I$7))))</f>
        <v>0.3</v>
      </c>
      <c r="D12" s="25">
        <f>Tabela2[[#This Row],[Faturado]]*Tabela2[[#This Row],[Bônus]]</f>
        <v>93136.2</v>
      </c>
    </row>
    <row r="13" spans="1:9" x14ac:dyDescent="0.25">
      <c r="A13" s="28" t="s">
        <v>753</v>
      </c>
      <c r="B13" s="26">
        <v>523471</v>
      </c>
      <c r="C13" s="34">
        <f>IF(Tabela2[[#This Row],[Faturado]]&lt;=$H$3,$I$3,IF(Tabela2[[#This Row],[Faturado]]&lt;=$H$4,$I$4,IF(Tabela2[[#This Row],[Faturado]]&lt;=$H$5,$I$5,IF(Tabela2[[#This Row],[Faturado]]&lt;=$H$6,$I$6,$I$7))))</f>
        <v>0.3</v>
      </c>
      <c r="D13" s="26">
        <f>Tabela2[[#This Row],[Faturado]]*Tabela2[[#This Row],[Bônus]]</f>
        <v>157041.29999999999</v>
      </c>
    </row>
    <row r="14" spans="1:9" x14ac:dyDescent="0.25">
      <c r="A14" s="27" t="s">
        <v>754</v>
      </c>
      <c r="B14" s="25">
        <v>54717</v>
      </c>
      <c r="C14" s="33">
        <f>IF(Tabela2[[#This Row],[Faturado]]&lt;=$H$3,$I$3,IF(Tabela2[[#This Row],[Faturado]]&lt;=$H$4,$I$4,IF(Tabela2[[#This Row],[Faturado]]&lt;=$H$5,$I$5,IF(Tabela2[[#This Row],[Faturado]]&lt;=$H$6,$I$6,$I$7))))</f>
        <v>0.05</v>
      </c>
      <c r="D14" s="25">
        <f>Tabela2[[#This Row],[Faturado]]*Tabela2[[#This Row],[Bônus]]</f>
        <v>2735.8500000000004</v>
      </c>
    </row>
    <row r="15" spans="1:9" x14ac:dyDescent="0.25">
      <c r="A15" s="28" t="s">
        <v>755</v>
      </c>
      <c r="B15" s="26">
        <v>398008</v>
      </c>
      <c r="C15" s="34">
        <f>IF(Tabela2[[#This Row],[Faturado]]&lt;=$H$3,$I$3,IF(Tabela2[[#This Row],[Faturado]]&lt;=$H$4,$I$4,IF(Tabela2[[#This Row],[Faturado]]&lt;=$H$5,$I$5,IF(Tabela2[[#This Row],[Faturado]]&lt;=$H$6,$I$6,$I$7))))</f>
        <v>0.3</v>
      </c>
      <c r="D15" s="26">
        <f>Tabela2[[#This Row],[Faturado]]*Tabela2[[#This Row],[Bônus]]</f>
        <v>119402.4</v>
      </c>
    </row>
    <row r="16" spans="1:9" x14ac:dyDescent="0.25">
      <c r="A16" s="27" t="s">
        <v>756</v>
      </c>
      <c r="B16" s="25">
        <v>70346</v>
      </c>
      <c r="C16" s="33">
        <f>IF(Tabela2[[#This Row],[Faturado]]&lt;=$H$3,$I$3,IF(Tabela2[[#This Row],[Faturado]]&lt;=$H$4,$I$4,IF(Tabela2[[#This Row],[Faturado]]&lt;=$H$5,$I$5,IF(Tabela2[[#This Row],[Faturado]]&lt;=$H$6,$I$6,$I$7))))</f>
        <v>0.05</v>
      </c>
      <c r="D16" s="25">
        <f>Tabela2[[#This Row],[Faturado]]*Tabela2[[#This Row],[Bônus]]</f>
        <v>3517.3</v>
      </c>
    </row>
  </sheetData>
  <mergeCells count="1">
    <mergeCell ref="G1:I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18B7F-445C-43D8-9D28-BF9407B3AC23}">
  <dimension ref="A1:L309"/>
  <sheetViews>
    <sheetView showGridLines="0" zoomScale="120" zoomScaleNormal="120" workbookViewId="0"/>
  </sheetViews>
  <sheetFormatPr defaultColWidth="8.85546875" defaultRowHeight="15" x14ac:dyDescent="0.25"/>
  <cols>
    <col min="1" max="4" width="13.28515625" style="1" customWidth="1"/>
    <col min="5" max="5" width="9.140625" style="1"/>
    <col min="6" max="6" width="5.28515625" style="1" customWidth="1"/>
    <col min="7" max="9" width="13.28515625" style="1" customWidth="1"/>
    <col min="10" max="16384" width="8.85546875" style="1"/>
  </cols>
  <sheetData>
    <row r="1" spans="1:12" x14ac:dyDescent="0.25">
      <c r="A1" s="3" t="s">
        <v>1</v>
      </c>
      <c r="B1" s="3" t="s">
        <v>0</v>
      </c>
      <c r="C1" s="3" t="s">
        <v>2</v>
      </c>
      <c r="D1" s="3" t="s">
        <v>3</v>
      </c>
      <c r="F1" s="9">
        <v>11</v>
      </c>
      <c r="G1" s="11" t="s">
        <v>332</v>
      </c>
      <c r="H1" s="12"/>
      <c r="I1" s="12"/>
      <c r="J1" s="10"/>
      <c r="K1" s="10"/>
      <c r="L1" s="12"/>
    </row>
    <row r="2" spans="1:12" x14ac:dyDescent="0.25">
      <c r="A2" s="6">
        <v>29137</v>
      </c>
      <c r="B2" s="5" t="s">
        <v>4</v>
      </c>
      <c r="C2" s="5" t="s">
        <v>5</v>
      </c>
      <c r="D2" s="5" t="s">
        <v>6</v>
      </c>
    </row>
    <row r="3" spans="1:12" x14ac:dyDescent="0.25">
      <c r="A3" s="6">
        <v>39687</v>
      </c>
      <c r="B3" s="5" t="s">
        <v>8</v>
      </c>
      <c r="C3" s="5" t="s">
        <v>5</v>
      </c>
      <c r="D3" s="5" t="s">
        <v>9</v>
      </c>
    </row>
    <row r="4" spans="1:12" x14ac:dyDescent="0.25">
      <c r="A4" s="6">
        <v>42124</v>
      </c>
      <c r="B4" s="5" t="s">
        <v>11</v>
      </c>
      <c r="C4" s="5" t="s">
        <v>12</v>
      </c>
      <c r="D4" s="5" t="s">
        <v>13</v>
      </c>
      <c r="G4" s="3" t="s">
        <v>0</v>
      </c>
      <c r="H4" s="3" t="s">
        <v>2</v>
      </c>
      <c r="I4" s="3" t="s">
        <v>1</v>
      </c>
    </row>
    <row r="5" spans="1:12" x14ac:dyDescent="0.25">
      <c r="A5" s="6">
        <v>37645</v>
      </c>
      <c r="B5" s="5" t="s">
        <v>15</v>
      </c>
      <c r="C5" s="5" t="s">
        <v>5</v>
      </c>
      <c r="D5" s="5" t="s">
        <v>9</v>
      </c>
      <c r="G5" s="7" t="s">
        <v>7</v>
      </c>
      <c r="H5" s="8"/>
      <c r="I5" s="8"/>
    </row>
    <row r="6" spans="1:12" x14ac:dyDescent="0.25">
      <c r="A6" s="6">
        <v>42831</v>
      </c>
      <c r="B6" s="5" t="s">
        <v>17</v>
      </c>
      <c r="C6" s="5" t="s">
        <v>5</v>
      </c>
      <c r="D6" s="5" t="s">
        <v>6</v>
      </c>
      <c r="G6" s="7" t="s">
        <v>10</v>
      </c>
      <c r="H6" s="8"/>
      <c r="I6" s="8"/>
    </row>
    <row r="7" spans="1:12" x14ac:dyDescent="0.25">
      <c r="A7" s="6">
        <v>37051</v>
      </c>
      <c r="B7" s="5" t="s">
        <v>19</v>
      </c>
      <c r="C7" s="5" t="s">
        <v>5</v>
      </c>
      <c r="D7" s="5" t="s">
        <v>6</v>
      </c>
      <c r="G7" s="7" t="s">
        <v>14</v>
      </c>
      <c r="H7" s="8"/>
      <c r="I7" s="8"/>
    </row>
    <row r="8" spans="1:12" x14ac:dyDescent="0.25">
      <c r="A8" s="6">
        <v>20140</v>
      </c>
      <c r="B8" s="5" t="s">
        <v>20</v>
      </c>
      <c r="C8" s="5" t="s">
        <v>12</v>
      </c>
      <c r="D8" s="5" t="s">
        <v>21</v>
      </c>
      <c r="G8" s="7" t="s">
        <v>16</v>
      </c>
      <c r="H8" s="8"/>
      <c r="I8" s="8"/>
    </row>
    <row r="9" spans="1:12" x14ac:dyDescent="0.25">
      <c r="A9" s="6">
        <v>41742</v>
      </c>
      <c r="B9" s="5" t="s">
        <v>22</v>
      </c>
      <c r="C9" s="5" t="s">
        <v>5</v>
      </c>
      <c r="D9" s="5" t="s">
        <v>9</v>
      </c>
      <c r="G9" s="7" t="s">
        <v>18</v>
      </c>
      <c r="H9" s="8"/>
      <c r="I9" s="8"/>
    </row>
    <row r="10" spans="1:12" x14ac:dyDescent="0.25">
      <c r="A10" s="6">
        <v>35371</v>
      </c>
      <c r="B10" s="5" t="s">
        <v>23</v>
      </c>
      <c r="C10" s="5" t="s">
        <v>12</v>
      </c>
      <c r="D10" s="5" t="s">
        <v>24</v>
      </c>
    </row>
    <row r="11" spans="1:12" x14ac:dyDescent="0.25">
      <c r="A11" s="6">
        <v>38407</v>
      </c>
      <c r="B11" s="5" t="s">
        <v>25</v>
      </c>
      <c r="C11" s="5" t="s">
        <v>5</v>
      </c>
      <c r="D11" s="5" t="s">
        <v>9</v>
      </c>
    </row>
    <row r="12" spans="1:12" x14ac:dyDescent="0.25">
      <c r="A12" s="6">
        <v>22333</v>
      </c>
      <c r="B12" s="5" t="s">
        <v>26</v>
      </c>
      <c r="C12" s="5" t="s">
        <v>27</v>
      </c>
      <c r="D12" s="5" t="s">
        <v>28</v>
      </c>
    </row>
    <row r="13" spans="1:12" x14ac:dyDescent="0.25">
      <c r="A13" s="6">
        <v>48181</v>
      </c>
      <c r="B13" s="5" t="s">
        <v>29</v>
      </c>
      <c r="C13" s="5" t="s">
        <v>5</v>
      </c>
      <c r="D13" s="5" t="s">
        <v>30</v>
      </c>
    </row>
    <row r="14" spans="1:12" x14ac:dyDescent="0.25">
      <c r="A14" s="6">
        <v>49849</v>
      </c>
      <c r="B14" s="5" t="s">
        <v>31</v>
      </c>
      <c r="C14" s="5" t="s">
        <v>27</v>
      </c>
      <c r="D14" s="5" t="s">
        <v>28</v>
      </c>
    </row>
    <row r="15" spans="1:12" x14ac:dyDescent="0.25">
      <c r="A15" s="6">
        <v>34284</v>
      </c>
      <c r="B15" s="5" t="s">
        <v>32</v>
      </c>
      <c r="C15" s="5" t="s">
        <v>12</v>
      </c>
      <c r="D15" s="5" t="s">
        <v>33</v>
      </c>
    </row>
    <row r="16" spans="1:12" x14ac:dyDescent="0.25">
      <c r="A16" s="6">
        <v>26631</v>
      </c>
      <c r="B16" s="5" t="s">
        <v>34</v>
      </c>
      <c r="C16" s="5" t="s">
        <v>27</v>
      </c>
      <c r="D16" s="5" t="s">
        <v>28</v>
      </c>
    </row>
    <row r="17" spans="1:4" x14ac:dyDescent="0.25">
      <c r="A17" s="6">
        <v>27454</v>
      </c>
      <c r="B17" s="5" t="s">
        <v>35</v>
      </c>
      <c r="C17" s="5" t="s">
        <v>12</v>
      </c>
      <c r="D17" s="5" t="s">
        <v>24</v>
      </c>
    </row>
    <row r="18" spans="1:4" x14ac:dyDescent="0.25">
      <c r="A18" s="6">
        <v>29558</v>
      </c>
      <c r="B18" s="5" t="s">
        <v>36</v>
      </c>
      <c r="C18" s="5" t="s">
        <v>27</v>
      </c>
      <c r="D18" s="5" t="s">
        <v>28</v>
      </c>
    </row>
    <row r="19" spans="1:4" x14ac:dyDescent="0.25">
      <c r="A19" s="6">
        <v>47188</v>
      </c>
      <c r="B19" s="5" t="s">
        <v>37</v>
      </c>
      <c r="C19" s="5" t="s">
        <v>12</v>
      </c>
      <c r="D19" s="5" t="s">
        <v>21</v>
      </c>
    </row>
    <row r="20" spans="1:4" x14ac:dyDescent="0.25">
      <c r="A20" s="6">
        <v>31185</v>
      </c>
      <c r="B20" s="5" t="s">
        <v>38</v>
      </c>
      <c r="C20" s="5" t="s">
        <v>12</v>
      </c>
      <c r="D20" s="5" t="s">
        <v>24</v>
      </c>
    </row>
    <row r="21" spans="1:4" x14ac:dyDescent="0.25">
      <c r="A21" s="6">
        <v>10863</v>
      </c>
      <c r="B21" s="5" t="s">
        <v>39</v>
      </c>
      <c r="C21" s="5" t="s">
        <v>5</v>
      </c>
      <c r="D21" s="5" t="s">
        <v>40</v>
      </c>
    </row>
    <row r="22" spans="1:4" x14ac:dyDescent="0.25">
      <c r="A22" s="6">
        <v>46432</v>
      </c>
      <c r="B22" s="5" t="s">
        <v>41</v>
      </c>
      <c r="C22" s="5" t="s">
        <v>5</v>
      </c>
      <c r="D22" s="5" t="s">
        <v>9</v>
      </c>
    </row>
    <row r="23" spans="1:4" x14ac:dyDescent="0.25">
      <c r="A23" s="6">
        <v>24628</v>
      </c>
      <c r="B23" s="5" t="s">
        <v>42</v>
      </c>
      <c r="C23" s="5" t="s">
        <v>5</v>
      </c>
      <c r="D23" s="5" t="s">
        <v>30</v>
      </c>
    </row>
    <row r="24" spans="1:4" x14ac:dyDescent="0.25">
      <c r="A24" s="6">
        <v>16070</v>
      </c>
      <c r="B24" s="5" t="s">
        <v>43</v>
      </c>
      <c r="C24" s="5" t="s">
        <v>27</v>
      </c>
      <c r="D24" s="5" t="s">
        <v>28</v>
      </c>
    </row>
    <row r="25" spans="1:4" x14ac:dyDescent="0.25">
      <c r="A25" s="6">
        <v>45176</v>
      </c>
      <c r="B25" s="5" t="s">
        <v>44</v>
      </c>
      <c r="C25" s="5" t="s">
        <v>5</v>
      </c>
      <c r="D25" s="5" t="s">
        <v>40</v>
      </c>
    </row>
    <row r="26" spans="1:4" x14ac:dyDescent="0.25">
      <c r="A26" s="6">
        <v>47951</v>
      </c>
      <c r="B26" s="5" t="s">
        <v>45</v>
      </c>
      <c r="C26" s="5" t="s">
        <v>5</v>
      </c>
      <c r="D26" s="5" t="s">
        <v>40</v>
      </c>
    </row>
    <row r="27" spans="1:4" x14ac:dyDescent="0.25">
      <c r="A27" s="6">
        <v>19050</v>
      </c>
      <c r="B27" s="5" t="s">
        <v>46</v>
      </c>
      <c r="C27" s="5" t="s">
        <v>5</v>
      </c>
      <c r="D27" s="5" t="s">
        <v>9</v>
      </c>
    </row>
    <row r="28" spans="1:4" x14ac:dyDescent="0.25">
      <c r="A28" s="6">
        <v>20596</v>
      </c>
      <c r="B28" s="5" t="s">
        <v>47</v>
      </c>
      <c r="C28" s="5" t="s">
        <v>27</v>
      </c>
      <c r="D28" s="5" t="s">
        <v>28</v>
      </c>
    </row>
    <row r="29" spans="1:4" x14ac:dyDescent="0.25">
      <c r="A29" s="6">
        <v>32713</v>
      </c>
      <c r="B29" s="5" t="s">
        <v>48</v>
      </c>
      <c r="C29" s="5" t="s">
        <v>5</v>
      </c>
      <c r="D29" s="5" t="s">
        <v>9</v>
      </c>
    </row>
    <row r="30" spans="1:4" x14ac:dyDescent="0.25">
      <c r="A30" s="6">
        <v>19864</v>
      </c>
      <c r="B30" s="5" t="s">
        <v>49</v>
      </c>
      <c r="C30" s="5" t="s">
        <v>27</v>
      </c>
      <c r="D30" s="5" t="s">
        <v>28</v>
      </c>
    </row>
    <row r="31" spans="1:4" x14ac:dyDescent="0.25">
      <c r="A31" s="6">
        <v>35135</v>
      </c>
      <c r="B31" s="5" t="s">
        <v>50</v>
      </c>
      <c r="C31" s="5" t="s">
        <v>12</v>
      </c>
      <c r="D31" s="5" t="s">
        <v>24</v>
      </c>
    </row>
    <row r="32" spans="1:4" x14ac:dyDescent="0.25">
      <c r="A32" s="6">
        <v>10933</v>
      </c>
      <c r="B32" s="5" t="s">
        <v>51</v>
      </c>
      <c r="C32" s="5" t="s">
        <v>27</v>
      </c>
      <c r="D32" s="5" t="s">
        <v>28</v>
      </c>
    </row>
    <row r="33" spans="1:4" x14ac:dyDescent="0.25">
      <c r="A33" s="6">
        <v>12742</v>
      </c>
      <c r="B33" s="5" t="s">
        <v>52</v>
      </c>
      <c r="C33" s="5" t="s">
        <v>12</v>
      </c>
      <c r="D33" s="5" t="s">
        <v>21</v>
      </c>
    </row>
    <row r="34" spans="1:4" x14ac:dyDescent="0.25">
      <c r="A34" s="6">
        <v>42515</v>
      </c>
      <c r="B34" s="5" t="s">
        <v>53</v>
      </c>
      <c r="C34" s="5" t="s">
        <v>27</v>
      </c>
      <c r="D34" s="5" t="s">
        <v>28</v>
      </c>
    </row>
    <row r="35" spans="1:4" x14ac:dyDescent="0.25">
      <c r="A35" s="6">
        <v>22280</v>
      </c>
      <c r="B35" s="5" t="s">
        <v>54</v>
      </c>
      <c r="C35" s="5" t="s">
        <v>12</v>
      </c>
      <c r="D35" s="5" t="s">
        <v>24</v>
      </c>
    </row>
    <row r="36" spans="1:4" x14ac:dyDescent="0.25">
      <c r="A36" s="6">
        <v>22586</v>
      </c>
      <c r="B36" s="5" t="s">
        <v>55</v>
      </c>
      <c r="C36" s="5" t="s">
        <v>27</v>
      </c>
      <c r="D36" s="5" t="s">
        <v>56</v>
      </c>
    </row>
    <row r="37" spans="1:4" x14ac:dyDescent="0.25">
      <c r="A37" s="6">
        <v>22053</v>
      </c>
      <c r="B37" s="5" t="s">
        <v>57</v>
      </c>
      <c r="C37" s="5" t="s">
        <v>12</v>
      </c>
      <c r="D37" s="5" t="s">
        <v>24</v>
      </c>
    </row>
    <row r="38" spans="1:4" x14ac:dyDescent="0.25">
      <c r="A38" s="6">
        <v>28511</v>
      </c>
      <c r="B38" s="5" t="s">
        <v>58</v>
      </c>
      <c r="C38" s="5" t="s">
        <v>27</v>
      </c>
      <c r="D38" s="5" t="s">
        <v>28</v>
      </c>
    </row>
    <row r="39" spans="1:4" x14ac:dyDescent="0.25">
      <c r="A39" s="6">
        <v>39014</v>
      </c>
      <c r="B39" s="5" t="s">
        <v>59</v>
      </c>
      <c r="C39" s="5" t="s">
        <v>27</v>
      </c>
      <c r="D39" s="5" t="s">
        <v>28</v>
      </c>
    </row>
    <row r="40" spans="1:4" x14ac:dyDescent="0.25">
      <c r="A40" s="6">
        <v>18258</v>
      </c>
      <c r="B40" s="5" t="s">
        <v>60</v>
      </c>
      <c r="C40" s="5" t="s">
        <v>27</v>
      </c>
      <c r="D40" s="5" t="s">
        <v>28</v>
      </c>
    </row>
    <row r="41" spans="1:4" x14ac:dyDescent="0.25">
      <c r="A41" s="6">
        <v>39010</v>
      </c>
      <c r="B41" s="5" t="s">
        <v>61</v>
      </c>
      <c r="C41" s="5" t="s">
        <v>5</v>
      </c>
      <c r="D41" s="5" t="s">
        <v>40</v>
      </c>
    </row>
    <row r="42" spans="1:4" x14ac:dyDescent="0.25">
      <c r="A42" s="6">
        <v>11405</v>
      </c>
      <c r="B42" s="5" t="s">
        <v>62</v>
      </c>
      <c r="C42" s="5" t="s">
        <v>5</v>
      </c>
      <c r="D42" s="5" t="s">
        <v>40</v>
      </c>
    </row>
    <row r="43" spans="1:4" x14ac:dyDescent="0.25">
      <c r="A43" s="6">
        <v>28765</v>
      </c>
      <c r="B43" s="5" t="s">
        <v>63</v>
      </c>
      <c r="C43" s="5" t="s">
        <v>27</v>
      </c>
      <c r="D43" s="5" t="s">
        <v>28</v>
      </c>
    </row>
    <row r="44" spans="1:4" x14ac:dyDescent="0.25">
      <c r="A44" s="6">
        <v>41383</v>
      </c>
      <c r="B44" s="5" t="s">
        <v>64</v>
      </c>
      <c r="C44" s="5" t="s">
        <v>27</v>
      </c>
      <c r="D44" s="5" t="s">
        <v>28</v>
      </c>
    </row>
    <row r="45" spans="1:4" x14ac:dyDescent="0.25">
      <c r="A45" s="6">
        <v>14541</v>
      </c>
      <c r="B45" s="5" t="s">
        <v>65</v>
      </c>
      <c r="C45" s="5" t="s">
        <v>27</v>
      </c>
      <c r="D45" s="5" t="s">
        <v>28</v>
      </c>
    </row>
    <row r="46" spans="1:4" x14ac:dyDescent="0.25">
      <c r="A46" s="6">
        <v>10433</v>
      </c>
      <c r="B46" s="5" t="s">
        <v>66</v>
      </c>
      <c r="C46" s="5" t="s">
        <v>27</v>
      </c>
      <c r="D46" s="5" t="s">
        <v>56</v>
      </c>
    </row>
    <row r="47" spans="1:4" x14ac:dyDescent="0.25">
      <c r="A47" s="6">
        <v>47237</v>
      </c>
      <c r="B47" s="5" t="s">
        <v>67</v>
      </c>
      <c r="C47" s="5" t="s">
        <v>5</v>
      </c>
      <c r="D47" s="5" t="s">
        <v>9</v>
      </c>
    </row>
    <row r="48" spans="1:4" x14ac:dyDescent="0.25">
      <c r="A48" s="6">
        <v>37280</v>
      </c>
      <c r="B48" s="5" t="s">
        <v>68</v>
      </c>
      <c r="C48" s="5" t="s">
        <v>5</v>
      </c>
      <c r="D48" s="5" t="s">
        <v>9</v>
      </c>
    </row>
    <row r="49" spans="1:4" x14ac:dyDescent="0.25">
      <c r="A49" s="6">
        <v>20267</v>
      </c>
      <c r="B49" s="5" t="s">
        <v>69</v>
      </c>
      <c r="C49" s="5" t="s">
        <v>5</v>
      </c>
      <c r="D49" s="5" t="s">
        <v>30</v>
      </c>
    </row>
    <row r="50" spans="1:4" x14ac:dyDescent="0.25">
      <c r="A50" s="6">
        <v>39686</v>
      </c>
      <c r="B50" s="5" t="s">
        <v>70</v>
      </c>
      <c r="C50" s="5" t="s">
        <v>5</v>
      </c>
      <c r="D50" s="5" t="s">
        <v>9</v>
      </c>
    </row>
    <row r="51" spans="1:4" x14ac:dyDescent="0.25">
      <c r="A51" s="6">
        <v>27052</v>
      </c>
      <c r="B51" s="5" t="s">
        <v>71</v>
      </c>
      <c r="C51" s="5" t="s">
        <v>27</v>
      </c>
      <c r="D51" s="5" t="s">
        <v>28</v>
      </c>
    </row>
    <row r="52" spans="1:4" x14ac:dyDescent="0.25">
      <c r="A52" s="6">
        <v>20676</v>
      </c>
      <c r="B52" s="5" t="s">
        <v>72</v>
      </c>
      <c r="C52" s="5" t="s">
        <v>27</v>
      </c>
      <c r="D52" s="5" t="s">
        <v>28</v>
      </c>
    </row>
    <row r="53" spans="1:4" x14ac:dyDescent="0.25">
      <c r="A53" s="6">
        <v>35903</v>
      </c>
      <c r="B53" s="5" t="s">
        <v>10</v>
      </c>
      <c r="C53" s="5" t="s">
        <v>5</v>
      </c>
      <c r="D53" s="5" t="s">
        <v>30</v>
      </c>
    </row>
    <row r="54" spans="1:4" x14ac:dyDescent="0.25">
      <c r="A54" s="6">
        <v>43035</v>
      </c>
      <c r="B54" s="5" t="s">
        <v>73</v>
      </c>
      <c r="C54" s="5" t="s">
        <v>5</v>
      </c>
      <c r="D54" s="5" t="s">
        <v>40</v>
      </c>
    </row>
    <row r="55" spans="1:4" x14ac:dyDescent="0.25">
      <c r="A55" s="6">
        <v>29685</v>
      </c>
      <c r="B55" s="5" t="s">
        <v>74</v>
      </c>
      <c r="C55" s="5" t="s">
        <v>5</v>
      </c>
      <c r="D55" s="5" t="s">
        <v>30</v>
      </c>
    </row>
    <row r="56" spans="1:4" x14ac:dyDescent="0.25">
      <c r="A56" s="6">
        <v>48418</v>
      </c>
      <c r="B56" s="5" t="s">
        <v>75</v>
      </c>
      <c r="C56" s="5" t="s">
        <v>27</v>
      </c>
      <c r="D56" s="5" t="s">
        <v>56</v>
      </c>
    </row>
    <row r="57" spans="1:4" x14ac:dyDescent="0.25">
      <c r="A57" s="6">
        <v>30509</v>
      </c>
      <c r="B57" s="5" t="s">
        <v>76</v>
      </c>
      <c r="C57" s="5" t="s">
        <v>12</v>
      </c>
      <c r="D57" s="5" t="s">
        <v>21</v>
      </c>
    </row>
    <row r="58" spans="1:4" x14ac:dyDescent="0.25">
      <c r="A58" s="6">
        <v>48739</v>
      </c>
      <c r="B58" s="5" t="s">
        <v>77</v>
      </c>
      <c r="C58" s="5" t="s">
        <v>5</v>
      </c>
      <c r="D58" s="5" t="s">
        <v>40</v>
      </c>
    </row>
    <row r="59" spans="1:4" x14ac:dyDescent="0.25">
      <c r="A59" s="6">
        <v>45261</v>
      </c>
      <c r="B59" s="5" t="s">
        <v>78</v>
      </c>
      <c r="C59" s="5" t="s">
        <v>27</v>
      </c>
      <c r="D59" s="5" t="s">
        <v>28</v>
      </c>
    </row>
    <row r="60" spans="1:4" x14ac:dyDescent="0.25">
      <c r="A60" s="6">
        <v>41476</v>
      </c>
      <c r="B60" s="5" t="s">
        <v>79</v>
      </c>
      <c r="C60" s="5" t="s">
        <v>5</v>
      </c>
      <c r="D60" s="5" t="s">
        <v>40</v>
      </c>
    </row>
    <row r="61" spans="1:4" x14ac:dyDescent="0.25">
      <c r="A61" s="6">
        <v>27507</v>
      </c>
      <c r="B61" s="5" t="s">
        <v>80</v>
      </c>
      <c r="C61" s="5" t="s">
        <v>27</v>
      </c>
      <c r="D61" s="5" t="s">
        <v>28</v>
      </c>
    </row>
    <row r="62" spans="1:4" x14ac:dyDescent="0.25">
      <c r="A62" s="6">
        <v>17244</v>
      </c>
      <c r="B62" s="5" t="s">
        <v>81</v>
      </c>
      <c r="C62" s="5" t="s">
        <v>12</v>
      </c>
      <c r="D62" s="5" t="s">
        <v>24</v>
      </c>
    </row>
    <row r="63" spans="1:4" x14ac:dyDescent="0.25">
      <c r="A63" s="6">
        <v>15512</v>
      </c>
      <c r="B63" s="5" t="s">
        <v>82</v>
      </c>
      <c r="C63" s="5" t="s">
        <v>12</v>
      </c>
      <c r="D63" s="5" t="s">
        <v>24</v>
      </c>
    </row>
    <row r="64" spans="1:4" x14ac:dyDescent="0.25">
      <c r="A64" s="6">
        <v>39594</v>
      </c>
      <c r="B64" s="5" t="s">
        <v>83</v>
      </c>
      <c r="C64" s="5" t="s">
        <v>27</v>
      </c>
      <c r="D64" s="5" t="s">
        <v>56</v>
      </c>
    </row>
    <row r="65" spans="1:4" x14ac:dyDescent="0.25">
      <c r="A65" s="6">
        <v>13567</v>
      </c>
      <c r="B65" s="5" t="s">
        <v>84</v>
      </c>
      <c r="C65" s="5" t="s">
        <v>12</v>
      </c>
      <c r="D65" s="5" t="s">
        <v>33</v>
      </c>
    </row>
    <row r="66" spans="1:4" x14ac:dyDescent="0.25">
      <c r="A66" s="6">
        <v>38887</v>
      </c>
      <c r="B66" s="5" t="s">
        <v>85</v>
      </c>
      <c r="C66" s="5" t="s">
        <v>5</v>
      </c>
      <c r="D66" s="5" t="s">
        <v>40</v>
      </c>
    </row>
    <row r="67" spans="1:4" x14ac:dyDescent="0.25">
      <c r="A67" s="6">
        <v>21569</v>
      </c>
      <c r="B67" s="5" t="s">
        <v>86</v>
      </c>
      <c r="C67" s="5" t="s">
        <v>12</v>
      </c>
      <c r="D67" s="5" t="s">
        <v>21</v>
      </c>
    </row>
    <row r="68" spans="1:4" x14ac:dyDescent="0.25">
      <c r="A68" s="6">
        <v>44166</v>
      </c>
      <c r="B68" s="5" t="s">
        <v>87</v>
      </c>
      <c r="C68" s="5" t="s">
        <v>27</v>
      </c>
      <c r="D68" s="5" t="s">
        <v>56</v>
      </c>
    </row>
    <row r="69" spans="1:4" x14ac:dyDescent="0.25">
      <c r="A69" s="6">
        <v>13062</v>
      </c>
      <c r="B69" s="5" t="s">
        <v>88</v>
      </c>
      <c r="C69" s="5" t="s">
        <v>12</v>
      </c>
      <c r="D69" s="5" t="s">
        <v>13</v>
      </c>
    </row>
    <row r="70" spans="1:4" x14ac:dyDescent="0.25">
      <c r="A70" s="6">
        <v>18515</v>
      </c>
      <c r="B70" s="5" t="s">
        <v>89</v>
      </c>
      <c r="C70" s="5" t="s">
        <v>27</v>
      </c>
      <c r="D70" s="5" t="s">
        <v>28</v>
      </c>
    </row>
    <row r="71" spans="1:4" x14ac:dyDescent="0.25">
      <c r="A71" s="6">
        <v>16698</v>
      </c>
      <c r="B71" s="5" t="s">
        <v>90</v>
      </c>
      <c r="C71" s="5" t="s">
        <v>12</v>
      </c>
      <c r="D71" s="5" t="s">
        <v>24</v>
      </c>
    </row>
    <row r="72" spans="1:4" x14ac:dyDescent="0.25">
      <c r="A72" s="6">
        <v>33323</v>
      </c>
      <c r="B72" s="5" t="s">
        <v>91</v>
      </c>
      <c r="C72" s="5" t="s">
        <v>5</v>
      </c>
      <c r="D72" s="5" t="s">
        <v>40</v>
      </c>
    </row>
    <row r="73" spans="1:4" x14ac:dyDescent="0.25">
      <c r="A73" s="6">
        <v>18188</v>
      </c>
      <c r="B73" s="5" t="s">
        <v>92</v>
      </c>
      <c r="C73" s="5" t="s">
        <v>27</v>
      </c>
      <c r="D73" s="5" t="s">
        <v>28</v>
      </c>
    </row>
    <row r="74" spans="1:4" x14ac:dyDescent="0.25">
      <c r="A74" s="6">
        <v>22891</v>
      </c>
      <c r="B74" s="5" t="s">
        <v>93</v>
      </c>
      <c r="C74" s="5" t="s">
        <v>27</v>
      </c>
      <c r="D74" s="5" t="s">
        <v>28</v>
      </c>
    </row>
    <row r="75" spans="1:4" x14ac:dyDescent="0.25">
      <c r="A75" s="6">
        <v>25451</v>
      </c>
      <c r="B75" s="5" t="s">
        <v>94</v>
      </c>
      <c r="C75" s="5" t="s">
        <v>12</v>
      </c>
      <c r="D75" s="5" t="s">
        <v>24</v>
      </c>
    </row>
    <row r="76" spans="1:4" x14ac:dyDescent="0.25">
      <c r="A76" s="6">
        <v>43517</v>
      </c>
      <c r="B76" s="5" t="s">
        <v>95</v>
      </c>
      <c r="C76" s="5" t="s">
        <v>27</v>
      </c>
      <c r="D76" s="5" t="s">
        <v>28</v>
      </c>
    </row>
    <row r="77" spans="1:4" x14ac:dyDescent="0.25">
      <c r="A77" s="6">
        <v>10530</v>
      </c>
      <c r="B77" s="5" t="s">
        <v>96</v>
      </c>
      <c r="C77" s="5" t="s">
        <v>5</v>
      </c>
      <c r="D77" s="5" t="s">
        <v>30</v>
      </c>
    </row>
    <row r="78" spans="1:4" x14ac:dyDescent="0.25">
      <c r="A78" s="6">
        <v>49537</v>
      </c>
      <c r="B78" s="5" t="s">
        <v>97</v>
      </c>
      <c r="C78" s="5" t="s">
        <v>5</v>
      </c>
      <c r="D78" s="5" t="s">
        <v>30</v>
      </c>
    </row>
    <row r="79" spans="1:4" x14ac:dyDescent="0.25">
      <c r="A79" s="6">
        <v>40357</v>
      </c>
      <c r="B79" s="5" t="s">
        <v>98</v>
      </c>
      <c r="C79" s="5" t="s">
        <v>12</v>
      </c>
      <c r="D79" s="5" t="s">
        <v>24</v>
      </c>
    </row>
    <row r="80" spans="1:4" x14ac:dyDescent="0.25">
      <c r="A80" s="6">
        <v>39950</v>
      </c>
      <c r="B80" s="5" t="s">
        <v>99</v>
      </c>
      <c r="C80" s="5" t="s">
        <v>12</v>
      </c>
      <c r="D80" s="5" t="s">
        <v>24</v>
      </c>
    </row>
    <row r="81" spans="1:4" x14ac:dyDescent="0.25">
      <c r="A81" s="6">
        <v>12904</v>
      </c>
      <c r="B81" s="5" t="s">
        <v>100</v>
      </c>
      <c r="C81" s="5" t="s">
        <v>27</v>
      </c>
      <c r="D81" s="5" t="s">
        <v>28</v>
      </c>
    </row>
    <row r="82" spans="1:4" x14ac:dyDescent="0.25">
      <c r="A82" s="6">
        <v>17730</v>
      </c>
      <c r="B82" s="5" t="s">
        <v>101</v>
      </c>
      <c r="C82" s="5" t="s">
        <v>27</v>
      </c>
      <c r="D82" s="5" t="s">
        <v>28</v>
      </c>
    </row>
    <row r="83" spans="1:4" x14ac:dyDescent="0.25">
      <c r="A83" s="6">
        <v>32050</v>
      </c>
      <c r="B83" s="5" t="s">
        <v>102</v>
      </c>
      <c r="C83" s="5" t="s">
        <v>27</v>
      </c>
      <c r="D83" s="5" t="s">
        <v>28</v>
      </c>
    </row>
    <row r="84" spans="1:4" x14ac:dyDescent="0.25">
      <c r="A84" s="6">
        <v>26053</v>
      </c>
      <c r="B84" s="5" t="s">
        <v>103</v>
      </c>
      <c r="C84" s="5" t="s">
        <v>27</v>
      </c>
      <c r="D84" s="5" t="s">
        <v>28</v>
      </c>
    </row>
    <row r="85" spans="1:4" x14ac:dyDescent="0.25">
      <c r="A85" s="6">
        <v>19025</v>
      </c>
      <c r="B85" s="5" t="s">
        <v>104</v>
      </c>
      <c r="C85" s="5" t="s">
        <v>12</v>
      </c>
      <c r="D85" s="5" t="s">
        <v>21</v>
      </c>
    </row>
    <row r="86" spans="1:4" x14ac:dyDescent="0.25">
      <c r="A86" s="6">
        <v>49554</v>
      </c>
      <c r="B86" s="5" t="s">
        <v>105</v>
      </c>
      <c r="C86" s="5" t="s">
        <v>27</v>
      </c>
      <c r="D86" s="5" t="s">
        <v>28</v>
      </c>
    </row>
    <row r="87" spans="1:4" x14ac:dyDescent="0.25">
      <c r="A87" s="6">
        <v>12413</v>
      </c>
      <c r="B87" s="5" t="s">
        <v>106</v>
      </c>
      <c r="C87" s="5" t="s">
        <v>12</v>
      </c>
      <c r="D87" s="5" t="s">
        <v>24</v>
      </c>
    </row>
    <row r="88" spans="1:4" x14ac:dyDescent="0.25">
      <c r="A88" s="6">
        <v>43326</v>
      </c>
      <c r="B88" s="5" t="s">
        <v>107</v>
      </c>
      <c r="C88" s="5" t="s">
        <v>27</v>
      </c>
      <c r="D88" s="5" t="s">
        <v>28</v>
      </c>
    </row>
    <row r="89" spans="1:4" x14ac:dyDescent="0.25">
      <c r="A89" s="6">
        <v>26743</v>
      </c>
      <c r="B89" s="5" t="s">
        <v>108</v>
      </c>
      <c r="C89" s="5" t="s">
        <v>27</v>
      </c>
      <c r="D89" s="5" t="s">
        <v>28</v>
      </c>
    </row>
    <row r="90" spans="1:4" x14ac:dyDescent="0.25">
      <c r="A90" s="6">
        <v>38831</v>
      </c>
      <c r="B90" s="5" t="s">
        <v>109</v>
      </c>
      <c r="C90" s="5" t="s">
        <v>27</v>
      </c>
      <c r="D90" s="5" t="s">
        <v>28</v>
      </c>
    </row>
    <row r="91" spans="1:4" x14ac:dyDescent="0.25">
      <c r="A91" s="6">
        <v>26512</v>
      </c>
      <c r="B91" s="5" t="s">
        <v>110</v>
      </c>
      <c r="C91" s="5" t="s">
        <v>27</v>
      </c>
      <c r="D91" s="5" t="s">
        <v>28</v>
      </c>
    </row>
    <row r="92" spans="1:4" x14ac:dyDescent="0.25">
      <c r="A92" s="6">
        <v>38445</v>
      </c>
      <c r="B92" s="5" t="s">
        <v>111</v>
      </c>
      <c r="C92" s="5" t="s">
        <v>27</v>
      </c>
      <c r="D92" s="5" t="s">
        <v>56</v>
      </c>
    </row>
    <row r="93" spans="1:4" x14ac:dyDescent="0.25">
      <c r="A93" s="6">
        <v>32230</v>
      </c>
      <c r="B93" s="5" t="s">
        <v>112</v>
      </c>
      <c r="C93" s="5" t="s">
        <v>12</v>
      </c>
      <c r="D93" s="5" t="s">
        <v>33</v>
      </c>
    </row>
    <row r="94" spans="1:4" x14ac:dyDescent="0.25">
      <c r="A94" s="6">
        <v>30820</v>
      </c>
      <c r="B94" s="5" t="s">
        <v>113</v>
      </c>
      <c r="C94" s="5" t="s">
        <v>27</v>
      </c>
      <c r="D94" s="5" t="s">
        <v>56</v>
      </c>
    </row>
    <row r="95" spans="1:4" x14ac:dyDescent="0.25">
      <c r="A95" s="6">
        <v>49203</v>
      </c>
      <c r="B95" s="5" t="s">
        <v>114</v>
      </c>
      <c r="C95" s="5" t="s">
        <v>27</v>
      </c>
      <c r="D95" s="5" t="s">
        <v>56</v>
      </c>
    </row>
    <row r="96" spans="1:4" x14ac:dyDescent="0.25">
      <c r="A96" s="6">
        <v>14338</v>
      </c>
      <c r="B96" s="5" t="s">
        <v>115</v>
      </c>
      <c r="C96" s="5" t="s">
        <v>5</v>
      </c>
      <c r="D96" s="5" t="s">
        <v>30</v>
      </c>
    </row>
    <row r="97" spans="1:4" x14ac:dyDescent="0.25">
      <c r="A97" s="6">
        <v>35182</v>
      </c>
      <c r="B97" s="5" t="s">
        <v>116</v>
      </c>
      <c r="C97" s="5" t="s">
        <v>5</v>
      </c>
      <c r="D97" s="5" t="s">
        <v>40</v>
      </c>
    </row>
    <row r="98" spans="1:4" x14ac:dyDescent="0.25">
      <c r="A98" s="6">
        <v>36230</v>
      </c>
      <c r="B98" s="5" t="s">
        <v>117</v>
      </c>
      <c r="C98" s="5" t="s">
        <v>27</v>
      </c>
      <c r="D98" s="5" t="s">
        <v>56</v>
      </c>
    </row>
    <row r="99" spans="1:4" x14ac:dyDescent="0.25">
      <c r="A99" s="6">
        <v>45647</v>
      </c>
      <c r="B99" s="5" t="s">
        <v>118</v>
      </c>
      <c r="C99" s="5" t="s">
        <v>27</v>
      </c>
      <c r="D99" s="5" t="s">
        <v>28</v>
      </c>
    </row>
    <row r="100" spans="1:4" x14ac:dyDescent="0.25">
      <c r="A100" s="6">
        <v>38966</v>
      </c>
      <c r="B100" s="5" t="s">
        <v>119</v>
      </c>
      <c r="C100" s="5" t="s">
        <v>12</v>
      </c>
      <c r="D100" s="5" t="s">
        <v>24</v>
      </c>
    </row>
    <row r="101" spans="1:4" x14ac:dyDescent="0.25">
      <c r="A101" s="6">
        <v>44149</v>
      </c>
      <c r="B101" s="5" t="s">
        <v>120</v>
      </c>
      <c r="C101" s="5" t="s">
        <v>5</v>
      </c>
      <c r="D101" s="5" t="s">
        <v>40</v>
      </c>
    </row>
    <row r="102" spans="1:4" x14ac:dyDescent="0.25">
      <c r="A102" s="6">
        <v>40157</v>
      </c>
      <c r="B102" s="5" t="s">
        <v>121</v>
      </c>
      <c r="C102" s="5" t="s">
        <v>27</v>
      </c>
      <c r="D102" s="5" t="s">
        <v>56</v>
      </c>
    </row>
    <row r="103" spans="1:4" x14ac:dyDescent="0.25">
      <c r="A103" s="6">
        <v>44667</v>
      </c>
      <c r="B103" s="5" t="s">
        <v>122</v>
      </c>
      <c r="C103" s="5" t="s">
        <v>12</v>
      </c>
      <c r="D103" s="5" t="s">
        <v>24</v>
      </c>
    </row>
    <row r="104" spans="1:4" x14ac:dyDescent="0.25">
      <c r="A104" s="6">
        <v>28698</v>
      </c>
      <c r="B104" s="5" t="s">
        <v>123</v>
      </c>
      <c r="C104" s="5" t="s">
        <v>12</v>
      </c>
      <c r="D104" s="5" t="s">
        <v>24</v>
      </c>
    </row>
    <row r="105" spans="1:4" x14ac:dyDescent="0.25">
      <c r="A105" s="6">
        <v>46729</v>
      </c>
      <c r="B105" s="5" t="s">
        <v>124</v>
      </c>
      <c r="C105" s="5" t="s">
        <v>12</v>
      </c>
      <c r="D105" s="5" t="s">
        <v>24</v>
      </c>
    </row>
    <row r="106" spans="1:4" x14ac:dyDescent="0.25">
      <c r="A106" s="6">
        <v>32905</v>
      </c>
      <c r="B106" s="5" t="s">
        <v>125</v>
      </c>
      <c r="C106" s="5" t="s">
        <v>12</v>
      </c>
      <c r="D106" s="5" t="s">
        <v>24</v>
      </c>
    </row>
    <row r="107" spans="1:4" x14ac:dyDescent="0.25">
      <c r="A107" s="6">
        <v>29299</v>
      </c>
      <c r="B107" s="5" t="s">
        <v>126</v>
      </c>
      <c r="C107" s="5" t="s">
        <v>12</v>
      </c>
      <c r="D107" s="5" t="s">
        <v>24</v>
      </c>
    </row>
    <row r="108" spans="1:4" x14ac:dyDescent="0.25">
      <c r="A108" s="6">
        <v>38010</v>
      </c>
      <c r="B108" s="5" t="s">
        <v>127</v>
      </c>
      <c r="C108" s="5" t="s">
        <v>12</v>
      </c>
      <c r="D108" s="5" t="s">
        <v>13</v>
      </c>
    </row>
    <row r="109" spans="1:4" x14ac:dyDescent="0.25">
      <c r="A109" s="6">
        <v>38503</v>
      </c>
      <c r="B109" s="5" t="s">
        <v>128</v>
      </c>
      <c r="C109" s="5" t="s">
        <v>5</v>
      </c>
      <c r="D109" s="5" t="s">
        <v>30</v>
      </c>
    </row>
    <row r="110" spans="1:4" x14ac:dyDescent="0.25">
      <c r="A110" s="6">
        <v>21625</v>
      </c>
      <c r="B110" s="5" t="s">
        <v>129</v>
      </c>
      <c r="C110" s="5" t="s">
        <v>27</v>
      </c>
      <c r="D110" s="5" t="s">
        <v>56</v>
      </c>
    </row>
    <row r="111" spans="1:4" x14ac:dyDescent="0.25">
      <c r="A111" s="6">
        <v>32275</v>
      </c>
      <c r="B111" s="5" t="s">
        <v>130</v>
      </c>
      <c r="C111" s="5" t="s">
        <v>131</v>
      </c>
      <c r="D111" s="5" t="s">
        <v>132</v>
      </c>
    </row>
    <row r="112" spans="1:4" x14ac:dyDescent="0.25">
      <c r="A112" s="6">
        <v>39211</v>
      </c>
      <c r="B112" s="5" t="s">
        <v>133</v>
      </c>
      <c r="C112" s="5" t="s">
        <v>5</v>
      </c>
      <c r="D112" s="5" t="s">
        <v>9</v>
      </c>
    </row>
    <row r="113" spans="1:4" x14ac:dyDescent="0.25">
      <c r="A113" s="6">
        <v>35713</v>
      </c>
      <c r="B113" s="5" t="s">
        <v>134</v>
      </c>
      <c r="C113" s="5" t="s">
        <v>27</v>
      </c>
      <c r="D113" s="5" t="s">
        <v>28</v>
      </c>
    </row>
    <row r="114" spans="1:4" x14ac:dyDescent="0.25">
      <c r="A114" s="6">
        <v>42643</v>
      </c>
      <c r="B114" s="5" t="s">
        <v>135</v>
      </c>
      <c r="C114" s="5" t="s">
        <v>27</v>
      </c>
      <c r="D114" s="5" t="s">
        <v>28</v>
      </c>
    </row>
    <row r="115" spans="1:4" x14ac:dyDescent="0.25">
      <c r="A115" s="6">
        <v>49999</v>
      </c>
      <c r="B115" s="5" t="s">
        <v>136</v>
      </c>
      <c r="C115" s="5" t="s">
        <v>27</v>
      </c>
      <c r="D115" s="5" t="s">
        <v>28</v>
      </c>
    </row>
    <row r="116" spans="1:4" x14ac:dyDescent="0.25">
      <c r="A116" s="6">
        <v>26895</v>
      </c>
      <c r="B116" s="5" t="s">
        <v>137</v>
      </c>
      <c r="C116" s="5" t="s">
        <v>5</v>
      </c>
      <c r="D116" s="5" t="s">
        <v>30</v>
      </c>
    </row>
    <row r="117" spans="1:4" x14ac:dyDescent="0.25">
      <c r="A117" s="6">
        <v>39830</v>
      </c>
      <c r="B117" s="5" t="s">
        <v>138</v>
      </c>
      <c r="C117" s="5" t="s">
        <v>12</v>
      </c>
      <c r="D117" s="5" t="s">
        <v>24</v>
      </c>
    </row>
    <row r="118" spans="1:4" x14ac:dyDescent="0.25">
      <c r="A118" s="6">
        <v>30076</v>
      </c>
      <c r="B118" s="5" t="s">
        <v>139</v>
      </c>
      <c r="C118" s="5" t="s">
        <v>27</v>
      </c>
      <c r="D118" s="5" t="s">
        <v>28</v>
      </c>
    </row>
    <row r="119" spans="1:4" x14ac:dyDescent="0.25">
      <c r="A119" s="6">
        <v>19162</v>
      </c>
      <c r="B119" s="5" t="s">
        <v>140</v>
      </c>
      <c r="C119" s="5" t="s">
        <v>12</v>
      </c>
      <c r="D119" s="5" t="s">
        <v>24</v>
      </c>
    </row>
    <row r="120" spans="1:4" x14ac:dyDescent="0.25">
      <c r="A120" s="6">
        <v>20626</v>
      </c>
      <c r="B120" s="5" t="s">
        <v>141</v>
      </c>
      <c r="C120" s="5" t="s">
        <v>5</v>
      </c>
      <c r="D120" s="5" t="s">
        <v>30</v>
      </c>
    </row>
    <row r="121" spans="1:4" x14ac:dyDescent="0.25">
      <c r="A121" s="6">
        <v>28926</v>
      </c>
      <c r="B121" s="5" t="s">
        <v>142</v>
      </c>
      <c r="C121" s="5" t="s">
        <v>27</v>
      </c>
      <c r="D121" s="5" t="s">
        <v>28</v>
      </c>
    </row>
    <row r="122" spans="1:4" x14ac:dyDescent="0.25">
      <c r="A122" s="6">
        <v>39375</v>
      </c>
      <c r="B122" s="5" t="s">
        <v>143</v>
      </c>
      <c r="C122" s="5" t="s">
        <v>12</v>
      </c>
      <c r="D122" s="5" t="s">
        <v>24</v>
      </c>
    </row>
    <row r="123" spans="1:4" x14ac:dyDescent="0.25">
      <c r="A123" s="6">
        <v>23677</v>
      </c>
      <c r="B123" s="5" t="s">
        <v>144</v>
      </c>
      <c r="C123" s="5" t="s">
        <v>5</v>
      </c>
      <c r="D123" s="5" t="s">
        <v>40</v>
      </c>
    </row>
    <row r="124" spans="1:4" x14ac:dyDescent="0.25">
      <c r="A124" s="6">
        <v>20535</v>
      </c>
      <c r="B124" s="5" t="s">
        <v>145</v>
      </c>
      <c r="C124" s="5" t="s">
        <v>27</v>
      </c>
      <c r="D124" s="5" t="s">
        <v>28</v>
      </c>
    </row>
    <row r="125" spans="1:4" x14ac:dyDescent="0.25">
      <c r="A125" s="6">
        <v>37410</v>
      </c>
      <c r="B125" s="5" t="s">
        <v>146</v>
      </c>
      <c r="C125" s="5" t="s">
        <v>12</v>
      </c>
      <c r="D125" s="5" t="s">
        <v>24</v>
      </c>
    </row>
    <row r="126" spans="1:4" x14ac:dyDescent="0.25">
      <c r="A126" s="6">
        <v>13380</v>
      </c>
      <c r="B126" s="5" t="s">
        <v>147</v>
      </c>
      <c r="C126" s="5" t="s">
        <v>12</v>
      </c>
      <c r="D126" s="5" t="s">
        <v>24</v>
      </c>
    </row>
    <row r="127" spans="1:4" x14ac:dyDescent="0.25">
      <c r="A127" s="6">
        <v>40295</v>
      </c>
      <c r="B127" s="5" t="s">
        <v>148</v>
      </c>
      <c r="C127" s="5" t="s">
        <v>5</v>
      </c>
      <c r="D127" s="5" t="s">
        <v>40</v>
      </c>
    </row>
    <row r="128" spans="1:4" x14ac:dyDescent="0.25">
      <c r="A128" s="6">
        <v>31830</v>
      </c>
      <c r="B128" s="5" t="s">
        <v>149</v>
      </c>
      <c r="C128" s="5" t="s">
        <v>12</v>
      </c>
      <c r="D128" s="5" t="s">
        <v>24</v>
      </c>
    </row>
    <row r="129" spans="1:4" x14ac:dyDescent="0.25">
      <c r="A129" s="6">
        <v>33472</v>
      </c>
      <c r="B129" s="5" t="s">
        <v>150</v>
      </c>
      <c r="C129" s="5" t="s">
        <v>12</v>
      </c>
      <c r="D129" s="5" t="s">
        <v>33</v>
      </c>
    </row>
    <row r="130" spans="1:4" x14ac:dyDescent="0.25">
      <c r="A130" s="6">
        <v>13877</v>
      </c>
      <c r="B130" s="5" t="s">
        <v>151</v>
      </c>
      <c r="C130" s="5" t="s">
        <v>27</v>
      </c>
      <c r="D130" s="5" t="s">
        <v>28</v>
      </c>
    </row>
    <row r="131" spans="1:4" x14ac:dyDescent="0.25">
      <c r="A131" s="6">
        <v>47866</v>
      </c>
      <c r="B131" s="5" t="s">
        <v>152</v>
      </c>
      <c r="C131" s="5" t="s">
        <v>5</v>
      </c>
      <c r="D131" s="5" t="s">
        <v>40</v>
      </c>
    </row>
    <row r="132" spans="1:4" x14ac:dyDescent="0.25">
      <c r="A132" s="6">
        <v>17713</v>
      </c>
      <c r="B132" s="5" t="s">
        <v>153</v>
      </c>
      <c r="C132" s="5" t="s">
        <v>5</v>
      </c>
      <c r="D132" s="5" t="s">
        <v>40</v>
      </c>
    </row>
    <row r="133" spans="1:4" x14ac:dyDescent="0.25">
      <c r="A133" s="6">
        <v>45247</v>
      </c>
      <c r="B133" s="5" t="s">
        <v>154</v>
      </c>
      <c r="C133" s="5" t="s">
        <v>27</v>
      </c>
      <c r="D133" s="5" t="s">
        <v>28</v>
      </c>
    </row>
    <row r="134" spans="1:4" x14ac:dyDescent="0.25">
      <c r="A134" s="6">
        <v>23770</v>
      </c>
      <c r="B134" s="5" t="s">
        <v>155</v>
      </c>
      <c r="C134" s="5" t="s">
        <v>27</v>
      </c>
      <c r="D134" s="5" t="s">
        <v>28</v>
      </c>
    </row>
    <row r="135" spans="1:4" x14ac:dyDescent="0.25">
      <c r="A135" s="6">
        <v>27580</v>
      </c>
      <c r="B135" s="5" t="s">
        <v>156</v>
      </c>
      <c r="C135" s="5" t="s">
        <v>27</v>
      </c>
      <c r="D135" s="5" t="s">
        <v>28</v>
      </c>
    </row>
    <row r="136" spans="1:4" x14ac:dyDescent="0.25">
      <c r="A136" s="6">
        <v>18185</v>
      </c>
      <c r="B136" s="5" t="s">
        <v>157</v>
      </c>
      <c r="C136" s="5" t="s">
        <v>27</v>
      </c>
      <c r="D136" s="5" t="s">
        <v>28</v>
      </c>
    </row>
    <row r="137" spans="1:4" x14ac:dyDescent="0.25">
      <c r="A137" s="6">
        <v>18353</v>
      </c>
      <c r="B137" s="5" t="s">
        <v>158</v>
      </c>
      <c r="C137" s="5" t="s">
        <v>27</v>
      </c>
      <c r="D137" s="5" t="s">
        <v>28</v>
      </c>
    </row>
    <row r="138" spans="1:4" x14ac:dyDescent="0.25">
      <c r="A138" s="6">
        <v>48774</v>
      </c>
      <c r="B138" s="5" t="s">
        <v>159</v>
      </c>
      <c r="C138" s="5" t="s">
        <v>5</v>
      </c>
      <c r="D138" s="5" t="s">
        <v>30</v>
      </c>
    </row>
    <row r="139" spans="1:4" x14ac:dyDescent="0.25">
      <c r="A139" s="6">
        <v>12928</v>
      </c>
      <c r="B139" s="5" t="s">
        <v>160</v>
      </c>
      <c r="C139" s="5" t="s">
        <v>27</v>
      </c>
      <c r="D139" s="5" t="s">
        <v>28</v>
      </c>
    </row>
    <row r="140" spans="1:4" x14ac:dyDescent="0.25">
      <c r="A140" s="6">
        <v>13903</v>
      </c>
      <c r="B140" s="5" t="s">
        <v>161</v>
      </c>
      <c r="C140" s="5" t="s">
        <v>27</v>
      </c>
      <c r="D140" s="5" t="s">
        <v>28</v>
      </c>
    </row>
    <row r="141" spans="1:4" x14ac:dyDescent="0.25">
      <c r="A141" s="6">
        <v>41101</v>
      </c>
      <c r="B141" s="5" t="s">
        <v>162</v>
      </c>
      <c r="C141" s="5" t="s">
        <v>12</v>
      </c>
      <c r="D141" s="5" t="s">
        <v>21</v>
      </c>
    </row>
    <row r="142" spans="1:4" x14ac:dyDescent="0.25">
      <c r="A142" s="6">
        <v>45165</v>
      </c>
      <c r="B142" s="5" t="s">
        <v>163</v>
      </c>
      <c r="C142" s="5" t="s">
        <v>12</v>
      </c>
      <c r="D142" s="5" t="s">
        <v>21</v>
      </c>
    </row>
    <row r="143" spans="1:4" x14ac:dyDescent="0.25">
      <c r="A143" s="6">
        <v>26625</v>
      </c>
      <c r="B143" s="5" t="s">
        <v>164</v>
      </c>
      <c r="C143" s="5" t="s">
        <v>131</v>
      </c>
      <c r="D143" s="5" t="s">
        <v>132</v>
      </c>
    </row>
    <row r="144" spans="1:4" x14ac:dyDescent="0.25">
      <c r="A144" s="6">
        <v>11149</v>
      </c>
      <c r="B144" s="5" t="s">
        <v>165</v>
      </c>
      <c r="C144" s="5" t="s">
        <v>5</v>
      </c>
      <c r="D144" s="5" t="s">
        <v>9</v>
      </c>
    </row>
    <row r="145" spans="1:4" x14ac:dyDescent="0.25">
      <c r="A145" s="6">
        <v>42202</v>
      </c>
      <c r="B145" s="5" t="s">
        <v>166</v>
      </c>
      <c r="C145" s="5" t="s">
        <v>27</v>
      </c>
      <c r="D145" s="5" t="s">
        <v>28</v>
      </c>
    </row>
    <row r="146" spans="1:4" x14ac:dyDescent="0.25">
      <c r="A146" s="6">
        <v>25319</v>
      </c>
      <c r="B146" s="5" t="s">
        <v>167</v>
      </c>
      <c r="C146" s="5" t="s">
        <v>5</v>
      </c>
      <c r="D146" s="5" t="s">
        <v>30</v>
      </c>
    </row>
    <row r="147" spans="1:4" x14ac:dyDescent="0.25">
      <c r="A147" s="6">
        <v>44225</v>
      </c>
      <c r="B147" s="5" t="s">
        <v>168</v>
      </c>
      <c r="C147" s="5" t="s">
        <v>27</v>
      </c>
      <c r="D147" s="5" t="s">
        <v>28</v>
      </c>
    </row>
    <row r="148" spans="1:4" x14ac:dyDescent="0.25">
      <c r="A148" s="6">
        <v>14401</v>
      </c>
      <c r="B148" s="5" t="s">
        <v>169</v>
      </c>
      <c r="C148" s="5" t="s">
        <v>12</v>
      </c>
      <c r="D148" s="5" t="s">
        <v>24</v>
      </c>
    </row>
    <row r="149" spans="1:4" x14ac:dyDescent="0.25">
      <c r="A149" s="6">
        <v>30514</v>
      </c>
      <c r="B149" s="5" t="s">
        <v>170</v>
      </c>
      <c r="C149" s="5" t="s">
        <v>12</v>
      </c>
      <c r="D149" s="5" t="s">
        <v>13</v>
      </c>
    </row>
    <row r="150" spans="1:4" x14ac:dyDescent="0.25">
      <c r="A150" s="6">
        <v>24397</v>
      </c>
      <c r="B150" s="5" t="s">
        <v>171</v>
      </c>
      <c r="C150" s="5" t="s">
        <v>5</v>
      </c>
      <c r="D150" s="5" t="s">
        <v>9</v>
      </c>
    </row>
    <row r="151" spans="1:4" x14ac:dyDescent="0.25">
      <c r="A151" s="6">
        <v>33087</v>
      </c>
      <c r="B151" s="5" t="s">
        <v>172</v>
      </c>
      <c r="C151" s="5" t="s">
        <v>12</v>
      </c>
      <c r="D151" s="5" t="s">
        <v>21</v>
      </c>
    </row>
    <row r="152" spans="1:4" x14ac:dyDescent="0.25">
      <c r="A152" s="6">
        <v>15961</v>
      </c>
      <c r="B152" s="5" t="s">
        <v>173</v>
      </c>
      <c r="C152" s="5" t="s">
        <v>27</v>
      </c>
      <c r="D152" s="5" t="s">
        <v>28</v>
      </c>
    </row>
    <row r="153" spans="1:4" x14ac:dyDescent="0.25">
      <c r="A153" s="6">
        <v>32159</v>
      </c>
      <c r="B153" s="5" t="s">
        <v>16</v>
      </c>
      <c r="C153" s="5" t="s">
        <v>12</v>
      </c>
      <c r="D153" s="5" t="s">
        <v>24</v>
      </c>
    </row>
    <row r="154" spans="1:4" x14ac:dyDescent="0.25">
      <c r="A154" s="6">
        <v>38993</v>
      </c>
      <c r="B154" s="5" t="s">
        <v>174</v>
      </c>
      <c r="C154" s="5" t="s">
        <v>27</v>
      </c>
      <c r="D154" s="5" t="s">
        <v>28</v>
      </c>
    </row>
    <row r="155" spans="1:4" x14ac:dyDescent="0.25">
      <c r="A155" s="6">
        <v>10387</v>
      </c>
      <c r="B155" s="5" t="s">
        <v>175</v>
      </c>
      <c r="C155" s="5" t="s">
        <v>5</v>
      </c>
      <c r="D155" s="5" t="s">
        <v>30</v>
      </c>
    </row>
    <row r="156" spans="1:4" x14ac:dyDescent="0.25">
      <c r="A156" s="6">
        <v>10856</v>
      </c>
      <c r="B156" s="5" t="s">
        <v>176</v>
      </c>
      <c r="C156" s="5" t="s">
        <v>12</v>
      </c>
      <c r="D156" s="5" t="s">
        <v>21</v>
      </c>
    </row>
    <row r="157" spans="1:4" x14ac:dyDescent="0.25">
      <c r="A157" s="6">
        <v>36291</v>
      </c>
      <c r="B157" s="5" t="s">
        <v>177</v>
      </c>
      <c r="C157" s="5" t="s">
        <v>27</v>
      </c>
      <c r="D157" s="5" t="s">
        <v>28</v>
      </c>
    </row>
    <row r="158" spans="1:4" x14ac:dyDescent="0.25">
      <c r="A158" s="6">
        <v>33679</v>
      </c>
      <c r="B158" s="5" t="s">
        <v>178</v>
      </c>
      <c r="C158" s="5" t="s">
        <v>12</v>
      </c>
      <c r="D158" s="5" t="s">
        <v>24</v>
      </c>
    </row>
    <row r="159" spans="1:4" x14ac:dyDescent="0.25">
      <c r="A159" s="6">
        <v>20971</v>
      </c>
      <c r="B159" s="5" t="s">
        <v>179</v>
      </c>
      <c r="C159" s="5" t="s">
        <v>12</v>
      </c>
      <c r="D159" s="5" t="s">
        <v>33</v>
      </c>
    </row>
    <row r="160" spans="1:4" x14ac:dyDescent="0.25">
      <c r="A160" s="6">
        <v>47162</v>
      </c>
      <c r="B160" s="5" t="s">
        <v>180</v>
      </c>
      <c r="C160" s="5" t="s">
        <v>12</v>
      </c>
      <c r="D160" s="5" t="s">
        <v>21</v>
      </c>
    </row>
    <row r="161" spans="1:4" x14ac:dyDescent="0.25">
      <c r="A161" s="6">
        <v>47084</v>
      </c>
      <c r="B161" s="5" t="s">
        <v>181</v>
      </c>
      <c r="C161" s="5" t="s">
        <v>12</v>
      </c>
      <c r="D161" s="5" t="s">
        <v>24</v>
      </c>
    </row>
    <row r="162" spans="1:4" x14ac:dyDescent="0.25">
      <c r="A162" s="6">
        <v>32113</v>
      </c>
      <c r="B162" s="5" t="s">
        <v>182</v>
      </c>
      <c r="C162" s="5" t="s">
        <v>27</v>
      </c>
      <c r="D162" s="5" t="s">
        <v>28</v>
      </c>
    </row>
    <row r="163" spans="1:4" x14ac:dyDescent="0.25">
      <c r="A163" s="6">
        <v>14472</v>
      </c>
      <c r="B163" s="5" t="s">
        <v>183</v>
      </c>
      <c r="C163" s="5" t="s">
        <v>27</v>
      </c>
      <c r="D163" s="5" t="s">
        <v>56</v>
      </c>
    </row>
    <row r="164" spans="1:4" x14ac:dyDescent="0.25">
      <c r="A164" s="6">
        <v>33985</v>
      </c>
      <c r="B164" s="5" t="s">
        <v>184</v>
      </c>
      <c r="C164" s="5" t="s">
        <v>5</v>
      </c>
      <c r="D164" s="5" t="s">
        <v>30</v>
      </c>
    </row>
    <row r="165" spans="1:4" x14ac:dyDescent="0.25">
      <c r="A165" s="6">
        <v>12853</v>
      </c>
      <c r="B165" s="5" t="s">
        <v>185</v>
      </c>
      <c r="C165" s="5" t="s">
        <v>5</v>
      </c>
      <c r="D165" s="5" t="s">
        <v>9</v>
      </c>
    </row>
    <row r="166" spans="1:4" x14ac:dyDescent="0.25">
      <c r="A166" s="6">
        <v>37582</v>
      </c>
      <c r="B166" s="5" t="s">
        <v>186</v>
      </c>
      <c r="C166" s="5" t="s">
        <v>5</v>
      </c>
      <c r="D166" s="5" t="s">
        <v>30</v>
      </c>
    </row>
    <row r="167" spans="1:4" x14ac:dyDescent="0.25">
      <c r="A167" s="6">
        <v>46305</v>
      </c>
      <c r="B167" s="5" t="s">
        <v>187</v>
      </c>
      <c r="C167" s="5" t="s">
        <v>131</v>
      </c>
      <c r="D167" s="5" t="s">
        <v>132</v>
      </c>
    </row>
    <row r="168" spans="1:4" x14ac:dyDescent="0.25">
      <c r="A168" s="6">
        <v>15095</v>
      </c>
      <c r="B168" s="5" t="s">
        <v>188</v>
      </c>
      <c r="C168" s="5" t="s">
        <v>27</v>
      </c>
      <c r="D168" s="5" t="s">
        <v>28</v>
      </c>
    </row>
    <row r="169" spans="1:4" x14ac:dyDescent="0.25">
      <c r="A169" s="6">
        <v>34786</v>
      </c>
      <c r="B169" s="5" t="s">
        <v>189</v>
      </c>
      <c r="C169" s="5" t="s">
        <v>12</v>
      </c>
      <c r="D169" s="5" t="s">
        <v>13</v>
      </c>
    </row>
    <row r="170" spans="1:4" x14ac:dyDescent="0.25">
      <c r="A170" s="6">
        <v>44480</v>
      </c>
      <c r="B170" s="5" t="s">
        <v>190</v>
      </c>
      <c r="C170" s="5" t="s">
        <v>27</v>
      </c>
      <c r="D170" s="5" t="s">
        <v>28</v>
      </c>
    </row>
    <row r="171" spans="1:4" x14ac:dyDescent="0.25">
      <c r="A171" s="6">
        <v>21534</v>
      </c>
      <c r="B171" s="5" t="s">
        <v>191</v>
      </c>
      <c r="C171" s="5" t="s">
        <v>27</v>
      </c>
      <c r="D171" s="5" t="s">
        <v>28</v>
      </c>
    </row>
    <row r="172" spans="1:4" x14ac:dyDescent="0.25">
      <c r="A172" s="6">
        <v>38000</v>
      </c>
      <c r="B172" s="5" t="s">
        <v>192</v>
      </c>
      <c r="C172" s="5" t="s">
        <v>12</v>
      </c>
      <c r="D172" s="5" t="s">
        <v>21</v>
      </c>
    </row>
    <row r="173" spans="1:4" x14ac:dyDescent="0.25">
      <c r="A173" s="6">
        <v>20880</v>
      </c>
      <c r="B173" s="5" t="s">
        <v>193</v>
      </c>
      <c r="C173" s="5" t="s">
        <v>12</v>
      </c>
      <c r="D173" s="5" t="s">
        <v>33</v>
      </c>
    </row>
    <row r="174" spans="1:4" x14ac:dyDescent="0.25">
      <c r="A174" s="6">
        <v>19200</v>
      </c>
      <c r="B174" s="5" t="s">
        <v>194</v>
      </c>
      <c r="C174" s="5" t="s">
        <v>12</v>
      </c>
      <c r="D174" s="5" t="s">
        <v>24</v>
      </c>
    </row>
    <row r="175" spans="1:4" x14ac:dyDescent="0.25">
      <c r="A175" s="6">
        <v>34801</v>
      </c>
      <c r="B175" s="5" t="s">
        <v>195</v>
      </c>
      <c r="C175" s="5" t="s">
        <v>5</v>
      </c>
      <c r="D175" s="5" t="s">
        <v>30</v>
      </c>
    </row>
    <row r="176" spans="1:4" x14ac:dyDescent="0.25">
      <c r="A176" s="6">
        <v>30557</v>
      </c>
      <c r="B176" s="5" t="s">
        <v>196</v>
      </c>
      <c r="C176" s="5" t="s">
        <v>12</v>
      </c>
      <c r="D176" s="5" t="s">
        <v>21</v>
      </c>
    </row>
    <row r="177" spans="1:4" x14ac:dyDescent="0.25">
      <c r="A177" s="6">
        <v>39944</v>
      </c>
      <c r="B177" s="5" t="s">
        <v>197</v>
      </c>
      <c r="C177" s="5" t="s">
        <v>12</v>
      </c>
      <c r="D177" s="5" t="s">
        <v>24</v>
      </c>
    </row>
    <row r="178" spans="1:4" x14ac:dyDescent="0.25">
      <c r="A178" s="6">
        <v>25329</v>
      </c>
      <c r="B178" s="5" t="s">
        <v>198</v>
      </c>
      <c r="C178" s="5" t="s">
        <v>27</v>
      </c>
      <c r="D178" s="5" t="s">
        <v>28</v>
      </c>
    </row>
    <row r="179" spans="1:4" x14ac:dyDescent="0.25">
      <c r="A179" s="6">
        <v>23514</v>
      </c>
      <c r="B179" s="5" t="s">
        <v>199</v>
      </c>
      <c r="C179" s="5" t="s">
        <v>27</v>
      </c>
      <c r="D179" s="5" t="s">
        <v>56</v>
      </c>
    </row>
    <row r="180" spans="1:4" x14ac:dyDescent="0.25">
      <c r="A180" s="6">
        <v>46148</v>
      </c>
      <c r="B180" s="5" t="s">
        <v>200</v>
      </c>
      <c r="C180" s="5" t="s">
        <v>5</v>
      </c>
      <c r="D180" s="5" t="s">
        <v>40</v>
      </c>
    </row>
    <row r="181" spans="1:4" x14ac:dyDescent="0.25">
      <c r="A181" s="6">
        <v>35131</v>
      </c>
      <c r="B181" s="5" t="s">
        <v>201</v>
      </c>
      <c r="C181" s="5" t="s">
        <v>27</v>
      </c>
      <c r="D181" s="5" t="s">
        <v>28</v>
      </c>
    </row>
    <row r="182" spans="1:4" x14ac:dyDescent="0.25">
      <c r="A182" s="6">
        <v>48994</v>
      </c>
      <c r="B182" s="5" t="s">
        <v>202</v>
      </c>
      <c r="C182" s="5" t="s">
        <v>12</v>
      </c>
      <c r="D182" s="5" t="s">
        <v>24</v>
      </c>
    </row>
    <row r="183" spans="1:4" x14ac:dyDescent="0.25">
      <c r="A183" s="6">
        <v>19865</v>
      </c>
      <c r="B183" s="5" t="s">
        <v>14</v>
      </c>
      <c r="C183" s="5" t="s">
        <v>5</v>
      </c>
      <c r="D183" s="5" t="s">
        <v>30</v>
      </c>
    </row>
    <row r="184" spans="1:4" x14ac:dyDescent="0.25">
      <c r="A184" s="6">
        <v>44934</v>
      </c>
      <c r="B184" s="5" t="s">
        <v>203</v>
      </c>
      <c r="C184" s="5" t="s">
        <v>12</v>
      </c>
      <c r="D184" s="5" t="s">
        <v>33</v>
      </c>
    </row>
    <row r="185" spans="1:4" x14ac:dyDescent="0.25">
      <c r="A185" s="6">
        <v>42453</v>
      </c>
      <c r="B185" s="5" t="s">
        <v>204</v>
      </c>
      <c r="C185" s="5" t="s">
        <v>12</v>
      </c>
      <c r="D185" s="5" t="s">
        <v>33</v>
      </c>
    </row>
    <row r="186" spans="1:4" x14ac:dyDescent="0.25">
      <c r="A186" s="6">
        <v>36975</v>
      </c>
      <c r="B186" s="5" t="s">
        <v>205</v>
      </c>
      <c r="C186" s="5" t="s">
        <v>27</v>
      </c>
      <c r="D186" s="5" t="s">
        <v>56</v>
      </c>
    </row>
    <row r="187" spans="1:4" x14ac:dyDescent="0.25">
      <c r="A187" s="6">
        <v>27557</v>
      </c>
      <c r="B187" s="5" t="s">
        <v>206</v>
      </c>
      <c r="C187" s="5" t="s">
        <v>27</v>
      </c>
      <c r="D187" s="5" t="s">
        <v>28</v>
      </c>
    </row>
    <row r="188" spans="1:4" x14ac:dyDescent="0.25">
      <c r="A188" s="6">
        <v>25101</v>
      </c>
      <c r="B188" s="5" t="s">
        <v>207</v>
      </c>
      <c r="C188" s="5" t="s">
        <v>5</v>
      </c>
      <c r="D188" s="5" t="s">
        <v>40</v>
      </c>
    </row>
    <row r="189" spans="1:4" x14ac:dyDescent="0.25">
      <c r="A189" s="6">
        <v>35939</v>
      </c>
      <c r="B189" s="5" t="s">
        <v>208</v>
      </c>
      <c r="C189" s="5" t="s">
        <v>27</v>
      </c>
      <c r="D189" s="5" t="s">
        <v>56</v>
      </c>
    </row>
    <row r="190" spans="1:4" x14ac:dyDescent="0.25">
      <c r="A190" s="6">
        <v>33783</v>
      </c>
      <c r="B190" s="5" t="s">
        <v>209</v>
      </c>
      <c r="C190" s="5" t="s">
        <v>27</v>
      </c>
      <c r="D190" s="5" t="s">
        <v>28</v>
      </c>
    </row>
    <row r="191" spans="1:4" x14ac:dyDescent="0.25">
      <c r="A191" s="6">
        <v>23766</v>
      </c>
      <c r="B191" s="5" t="s">
        <v>210</v>
      </c>
      <c r="C191" s="5" t="s">
        <v>27</v>
      </c>
      <c r="D191" s="5" t="s">
        <v>28</v>
      </c>
    </row>
    <row r="192" spans="1:4" x14ac:dyDescent="0.25">
      <c r="A192" s="6">
        <v>49392</v>
      </c>
      <c r="B192" s="5" t="s">
        <v>211</v>
      </c>
      <c r="C192" s="5" t="s">
        <v>27</v>
      </c>
      <c r="D192" s="5" t="s">
        <v>56</v>
      </c>
    </row>
    <row r="193" spans="1:4" x14ac:dyDescent="0.25">
      <c r="A193" s="6">
        <v>42456</v>
      </c>
      <c r="B193" s="5" t="s">
        <v>212</v>
      </c>
      <c r="C193" s="5" t="s">
        <v>12</v>
      </c>
      <c r="D193" s="5" t="s">
        <v>21</v>
      </c>
    </row>
    <row r="194" spans="1:4" x14ac:dyDescent="0.25">
      <c r="A194" s="6">
        <v>12084</v>
      </c>
      <c r="B194" s="5" t="s">
        <v>213</v>
      </c>
      <c r="C194" s="5" t="s">
        <v>5</v>
      </c>
      <c r="D194" s="5" t="s">
        <v>30</v>
      </c>
    </row>
    <row r="195" spans="1:4" x14ac:dyDescent="0.25">
      <c r="A195" s="6">
        <v>40192</v>
      </c>
      <c r="B195" s="5" t="s">
        <v>214</v>
      </c>
      <c r="C195" s="5" t="s">
        <v>27</v>
      </c>
      <c r="D195" s="5" t="s">
        <v>56</v>
      </c>
    </row>
    <row r="196" spans="1:4" x14ac:dyDescent="0.25">
      <c r="A196" s="6">
        <v>11650</v>
      </c>
      <c r="B196" s="5" t="s">
        <v>215</v>
      </c>
      <c r="C196" s="5" t="s">
        <v>12</v>
      </c>
      <c r="D196" s="5" t="s">
        <v>33</v>
      </c>
    </row>
    <row r="197" spans="1:4" x14ac:dyDescent="0.25">
      <c r="A197" s="6">
        <v>20889</v>
      </c>
      <c r="B197" s="5" t="s">
        <v>216</v>
      </c>
      <c r="C197" s="5" t="s">
        <v>12</v>
      </c>
      <c r="D197" s="5" t="s">
        <v>24</v>
      </c>
    </row>
    <row r="198" spans="1:4" x14ac:dyDescent="0.25">
      <c r="A198" s="6">
        <v>48018</v>
      </c>
      <c r="B198" s="5" t="s">
        <v>7</v>
      </c>
      <c r="C198" s="5" t="s">
        <v>5</v>
      </c>
      <c r="D198" s="5" t="s">
        <v>30</v>
      </c>
    </row>
    <row r="199" spans="1:4" x14ac:dyDescent="0.25">
      <c r="A199" s="6">
        <v>36579</v>
      </c>
      <c r="B199" s="5" t="s">
        <v>217</v>
      </c>
      <c r="C199" s="5" t="s">
        <v>27</v>
      </c>
      <c r="D199" s="5" t="s">
        <v>28</v>
      </c>
    </row>
    <row r="200" spans="1:4" x14ac:dyDescent="0.25">
      <c r="A200" s="6">
        <v>20784</v>
      </c>
      <c r="B200" s="5" t="s">
        <v>218</v>
      </c>
      <c r="C200" s="5" t="s">
        <v>5</v>
      </c>
      <c r="D200" s="5" t="s">
        <v>30</v>
      </c>
    </row>
    <row r="201" spans="1:4" x14ac:dyDescent="0.25">
      <c r="A201" s="6">
        <v>48332</v>
      </c>
      <c r="B201" s="5" t="s">
        <v>219</v>
      </c>
      <c r="C201" s="5" t="s">
        <v>27</v>
      </c>
      <c r="D201" s="5" t="s">
        <v>28</v>
      </c>
    </row>
    <row r="202" spans="1:4" x14ac:dyDescent="0.25">
      <c r="A202" s="6">
        <v>24454</v>
      </c>
      <c r="B202" s="5" t="s">
        <v>220</v>
      </c>
      <c r="C202" s="5" t="s">
        <v>5</v>
      </c>
      <c r="D202" s="5" t="s">
        <v>9</v>
      </c>
    </row>
    <row r="203" spans="1:4" x14ac:dyDescent="0.25">
      <c r="A203" s="6">
        <v>32354</v>
      </c>
      <c r="B203" s="5" t="s">
        <v>221</v>
      </c>
      <c r="C203" s="5" t="s">
        <v>27</v>
      </c>
      <c r="D203" s="5" t="s">
        <v>28</v>
      </c>
    </row>
    <row r="204" spans="1:4" x14ac:dyDescent="0.25">
      <c r="A204" s="6">
        <v>32600</v>
      </c>
      <c r="B204" s="5" t="s">
        <v>222</v>
      </c>
      <c r="C204" s="5" t="s">
        <v>5</v>
      </c>
      <c r="D204" s="5" t="s">
        <v>30</v>
      </c>
    </row>
    <row r="205" spans="1:4" x14ac:dyDescent="0.25">
      <c r="A205" s="6">
        <v>40727</v>
      </c>
      <c r="B205" s="5" t="s">
        <v>223</v>
      </c>
      <c r="C205" s="5" t="s">
        <v>5</v>
      </c>
      <c r="D205" s="5" t="s">
        <v>9</v>
      </c>
    </row>
    <row r="206" spans="1:4" x14ac:dyDescent="0.25">
      <c r="A206" s="6">
        <v>29312</v>
      </c>
      <c r="B206" s="5" t="s">
        <v>224</v>
      </c>
      <c r="C206" s="5" t="s">
        <v>131</v>
      </c>
      <c r="D206" s="5" t="s">
        <v>225</v>
      </c>
    </row>
    <row r="207" spans="1:4" x14ac:dyDescent="0.25">
      <c r="A207" s="6">
        <v>14553</v>
      </c>
      <c r="B207" s="5" t="s">
        <v>226</v>
      </c>
      <c r="C207" s="5" t="s">
        <v>27</v>
      </c>
      <c r="D207" s="5" t="s">
        <v>28</v>
      </c>
    </row>
    <row r="208" spans="1:4" x14ac:dyDescent="0.25">
      <c r="A208" s="6">
        <v>24953</v>
      </c>
      <c r="B208" s="5" t="s">
        <v>227</v>
      </c>
      <c r="C208" s="5" t="s">
        <v>27</v>
      </c>
      <c r="D208" s="5" t="s">
        <v>28</v>
      </c>
    </row>
    <row r="209" spans="1:4" x14ac:dyDescent="0.25">
      <c r="A209" s="6">
        <v>28343</v>
      </c>
      <c r="B209" s="5" t="s">
        <v>228</v>
      </c>
      <c r="C209" s="5" t="s">
        <v>27</v>
      </c>
      <c r="D209" s="5" t="s">
        <v>28</v>
      </c>
    </row>
    <row r="210" spans="1:4" x14ac:dyDescent="0.25">
      <c r="A210" s="6">
        <v>32168</v>
      </c>
      <c r="B210" s="5" t="s">
        <v>229</v>
      </c>
      <c r="C210" s="5" t="s">
        <v>12</v>
      </c>
      <c r="D210" s="5" t="s">
        <v>13</v>
      </c>
    </row>
    <row r="211" spans="1:4" x14ac:dyDescent="0.25">
      <c r="A211" s="6">
        <v>42546</v>
      </c>
      <c r="B211" s="5" t="s">
        <v>230</v>
      </c>
      <c r="C211" s="5" t="s">
        <v>27</v>
      </c>
      <c r="D211" s="5" t="s">
        <v>56</v>
      </c>
    </row>
    <row r="212" spans="1:4" x14ac:dyDescent="0.25">
      <c r="A212" s="6">
        <v>16829</v>
      </c>
      <c r="B212" s="5" t="s">
        <v>231</v>
      </c>
      <c r="C212" s="5" t="s">
        <v>27</v>
      </c>
      <c r="D212" s="5" t="s">
        <v>28</v>
      </c>
    </row>
    <row r="213" spans="1:4" x14ac:dyDescent="0.25">
      <c r="A213" s="6">
        <v>30464</v>
      </c>
      <c r="B213" s="5" t="s">
        <v>232</v>
      </c>
      <c r="C213" s="5" t="s">
        <v>12</v>
      </c>
      <c r="D213" s="5" t="s">
        <v>24</v>
      </c>
    </row>
    <row r="214" spans="1:4" x14ac:dyDescent="0.25">
      <c r="A214" s="6">
        <v>13001</v>
      </c>
      <c r="B214" s="5" t="s">
        <v>233</v>
      </c>
      <c r="C214" s="5" t="s">
        <v>12</v>
      </c>
      <c r="D214" s="5" t="s">
        <v>21</v>
      </c>
    </row>
    <row r="215" spans="1:4" x14ac:dyDescent="0.25">
      <c r="A215" s="6">
        <v>11937</v>
      </c>
      <c r="B215" s="5" t="s">
        <v>234</v>
      </c>
      <c r="C215" s="5" t="s">
        <v>27</v>
      </c>
      <c r="D215" s="5" t="s">
        <v>28</v>
      </c>
    </row>
    <row r="216" spans="1:4" x14ac:dyDescent="0.25">
      <c r="A216" s="6">
        <v>41777</v>
      </c>
      <c r="B216" s="5" t="s">
        <v>235</v>
      </c>
      <c r="C216" s="5" t="s">
        <v>27</v>
      </c>
      <c r="D216" s="5" t="s">
        <v>56</v>
      </c>
    </row>
    <row r="217" spans="1:4" x14ac:dyDescent="0.25">
      <c r="A217" s="6">
        <v>35059</v>
      </c>
      <c r="B217" s="5" t="s">
        <v>236</v>
      </c>
      <c r="C217" s="5" t="s">
        <v>27</v>
      </c>
      <c r="D217" s="5" t="s">
        <v>28</v>
      </c>
    </row>
    <row r="218" spans="1:4" x14ac:dyDescent="0.25">
      <c r="A218" s="6">
        <v>49846</v>
      </c>
      <c r="B218" s="5" t="s">
        <v>237</v>
      </c>
      <c r="C218" s="5" t="s">
        <v>5</v>
      </c>
      <c r="D218" s="5" t="s">
        <v>30</v>
      </c>
    </row>
    <row r="219" spans="1:4" x14ac:dyDescent="0.25">
      <c r="A219" s="6">
        <v>31338</v>
      </c>
      <c r="B219" s="5" t="s">
        <v>238</v>
      </c>
      <c r="C219" s="5" t="s">
        <v>27</v>
      </c>
      <c r="D219" s="5" t="s">
        <v>56</v>
      </c>
    </row>
    <row r="220" spans="1:4" x14ac:dyDescent="0.25">
      <c r="A220" s="6">
        <v>22961</v>
      </c>
      <c r="B220" s="5" t="s">
        <v>239</v>
      </c>
      <c r="C220" s="5" t="s">
        <v>27</v>
      </c>
      <c r="D220" s="5" t="s">
        <v>28</v>
      </c>
    </row>
    <row r="221" spans="1:4" x14ac:dyDescent="0.25">
      <c r="A221" s="6">
        <v>40927</v>
      </c>
      <c r="B221" s="5" t="s">
        <v>240</v>
      </c>
      <c r="C221" s="5" t="s">
        <v>27</v>
      </c>
      <c r="D221" s="5" t="s">
        <v>28</v>
      </c>
    </row>
    <row r="222" spans="1:4" x14ac:dyDescent="0.25">
      <c r="A222" s="6">
        <v>41949</v>
      </c>
      <c r="B222" s="5" t="s">
        <v>241</v>
      </c>
      <c r="C222" s="5" t="s">
        <v>27</v>
      </c>
      <c r="D222" s="5" t="s">
        <v>28</v>
      </c>
    </row>
    <row r="223" spans="1:4" x14ac:dyDescent="0.25">
      <c r="A223" s="6">
        <v>32663</v>
      </c>
      <c r="B223" s="5" t="s">
        <v>242</v>
      </c>
      <c r="C223" s="5" t="s">
        <v>27</v>
      </c>
      <c r="D223" s="5" t="s">
        <v>28</v>
      </c>
    </row>
    <row r="224" spans="1:4" x14ac:dyDescent="0.25">
      <c r="A224" s="6">
        <v>24412</v>
      </c>
      <c r="B224" s="5" t="s">
        <v>243</v>
      </c>
      <c r="C224" s="5" t="s">
        <v>27</v>
      </c>
      <c r="D224" s="5" t="s">
        <v>28</v>
      </c>
    </row>
    <row r="225" spans="1:4" x14ac:dyDescent="0.25">
      <c r="A225" s="6">
        <v>21954</v>
      </c>
      <c r="B225" s="5" t="s">
        <v>244</v>
      </c>
      <c r="C225" s="5" t="s">
        <v>27</v>
      </c>
      <c r="D225" s="5" t="s">
        <v>28</v>
      </c>
    </row>
    <row r="226" spans="1:4" x14ac:dyDescent="0.25">
      <c r="A226" s="6">
        <v>44376</v>
      </c>
      <c r="B226" s="5" t="s">
        <v>245</v>
      </c>
      <c r="C226" s="5" t="s">
        <v>27</v>
      </c>
      <c r="D226" s="5" t="s">
        <v>28</v>
      </c>
    </row>
    <row r="227" spans="1:4" x14ac:dyDescent="0.25">
      <c r="A227" s="6">
        <v>19400</v>
      </c>
      <c r="B227" s="5" t="s">
        <v>246</v>
      </c>
      <c r="C227" s="5" t="s">
        <v>27</v>
      </c>
      <c r="D227" s="5" t="s">
        <v>28</v>
      </c>
    </row>
    <row r="228" spans="1:4" x14ac:dyDescent="0.25">
      <c r="A228" s="6">
        <v>39800</v>
      </c>
      <c r="B228" s="5" t="s">
        <v>247</v>
      </c>
      <c r="C228" s="5" t="s">
        <v>12</v>
      </c>
      <c r="D228" s="5" t="s">
        <v>33</v>
      </c>
    </row>
    <row r="229" spans="1:4" x14ac:dyDescent="0.25">
      <c r="A229" s="6">
        <v>48734</v>
      </c>
      <c r="B229" s="5" t="s">
        <v>248</v>
      </c>
      <c r="C229" s="5" t="s">
        <v>27</v>
      </c>
      <c r="D229" s="5" t="s">
        <v>28</v>
      </c>
    </row>
    <row r="230" spans="1:4" x14ac:dyDescent="0.25">
      <c r="A230" s="6">
        <v>48985</v>
      </c>
      <c r="B230" s="5" t="s">
        <v>249</v>
      </c>
      <c r="C230" s="5" t="s">
        <v>27</v>
      </c>
      <c r="D230" s="5" t="s">
        <v>28</v>
      </c>
    </row>
    <row r="231" spans="1:4" x14ac:dyDescent="0.25">
      <c r="A231" s="6">
        <v>45487</v>
      </c>
      <c r="B231" s="5" t="s">
        <v>250</v>
      </c>
      <c r="C231" s="5" t="s">
        <v>27</v>
      </c>
      <c r="D231" s="5" t="s">
        <v>28</v>
      </c>
    </row>
    <row r="232" spans="1:4" x14ac:dyDescent="0.25">
      <c r="A232" s="6">
        <v>27759</v>
      </c>
      <c r="B232" s="5" t="s">
        <v>251</v>
      </c>
      <c r="C232" s="5" t="s">
        <v>27</v>
      </c>
      <c r="D232" s="5" t="s">
        <v>28</v>
      </c>
    </row>
    <row r="233" spans="1:4" x14ac:dyDescent="0.25">
      <c r="A233" s="6">
        <v>21951</v>
      </c>
      <c r="B233" s="5" t="s">
        <v>252</v>
      </c>
      <c r="C233" s="5" t="s">
        <v>27</v>
      </c>
      <c r="D233" s="5" t="s">
        <v>56</v>
      </c>
    </row>
    <row r="234" spans="1:4" x14ac:dyDescent="0.25">
      <c r="A234" s="6">
        <v>13472</v>
      </c>
      <c r="B234" s="5" t="s">
        <v>253</v>
      </c>
      <c r="C234" s="5" t="s">
        <v>5</v>
      </c>
      <c r="D234" s="5" t="s">
        <v>9</v>
      </c>
    </row>
    <row r="235" spans="1:4" x14ac:dyDescent="0.25">
      <c r="A235" s="6">
        <v>24810</v>
      </c>
      <c r="B235" s="5" t="s">
        <v>254</v>
      </c>
      <c r="C235" s="5" t="s">
        <v>27</v>
      </c>
      <c r="D235" s="5" t="s">
        <v>28</v>
      </c>
    </row>
    <row r="236" spans="1:4" x14ac:dyDescent="0.25">
      <c r="A236" s="6">
        <v>34458</v>
      </c>
      <c r="B236" s="5" t="s">
        <v>255</v>
      </c>
      <c r="C236" s="5" t="s">
        <v>27</v>
      </c>
      <c r="D236" s="5" t="s">
        <v>56</v>
      </c>
    </row>
    <row r="237" spans="1:4" x14ac:dyDescent="0.25">
      <c r="A237" s="6">
        <v>19531</v>
      </c>
      <c r="B237" s="5" t="s">
        <v>256</v>
      </c>
      <c r="C237" s="5" t="s">
        <v>27</v>
      </c>
      <c r="D237" s="5" t="s">
        <v>28</v>
      </c>
    </row>
    <row r="238" spans="1:4" x14ac:dyDescent="0.25">
      <c r="A238" s="6">
        <v>32747</v>
      </c>
      <c r="B238" s="5" t="s">
        <v>257</v>
      </c>
      <c r="C238" s="5" t="s">
        <v>27</v>
      </c>
      <c r="D238" s="5" t="s">
        <v>28</v>
      </c>
    </row>
    <row r="239" spans="1:4" x14ac:dyDescent="0.25">
      <c r="A239" s="6">
        <v>42435</v>
      </c>
      <c r="B239" s="5" t="s">
        <v>258</v>
      </c>
      <c r="C239" s="5" t="s">
        <v>27</v>
      </c>
      <c r="D239" s="5" t="s">
        <v>28</v>
      </c>
    </row>
    <row r="240" spans="1:4" x14ac:dyDescent="0.25">
      <c r="A240" s="6">
        <v>14261</v>
      </c>
      <c r="B240" s="5" t="s">
        <v>259</v>
      </c>
      <c r="C240" s="5" t="s">
        <v>27</v>
      </c>
      <c r="D240" s="5" t="s">
        <v>28</v>
      </c>
    </row>
    <row r="241" spans="1:4" x14ac:dyDescent="0.25">
      <c r="A241" s="6">
        <v>14166</v>
      </c>
      <c r="B241" s="5" t="s">
        <v>260</v>
      </c>
      <c r="C241" s="5" t="s">
        <v>27</v>
      </c>
      <c r="D241" s="5" t="s">
        <v>28</v>
      </c>
    </row>
    <row r="242" spans="1:4" x14ac:dyDescent="0.25">
      <c r="A242" s="6">
        <v>32387</v>
      </c>
      <c r="B242" s="5" t="s">
        <v>261</v>
      </c>
      <c r="C242" s="5" t="s">
        <v>27</v>
      </c>
      <c r="D242" s="5" t="s">
        <v>28</v>
      </c>
    </row>
    <row r="243" spans="1:4" x14ac:dyDescent="0.25">
      <c r="A243" s="6">
        <v>26522</v>
      </c>
      <c r="B243" s="5" t="s">
        <v>262</v>
      </c>
      <c r="C243" s="5" t="s">
        <v>12</v>
      </c>
      <c r="D243" s="5" t="s">
        <v>33</v>
      </c>
    </row>
    <row r="244" spans="1:4" x14ac:dyDescent="0.25">
      <c r="A244" s="6">
        <v>16443</v>
      </c>
      <c r="B244" s="5" t="s">
        <v>263</v>
      </c>
      <c r="C244" s="5" t="s">
        <v>27</v>
      </c>
      <c r="D244" s="5" t="s">
        <v>28</v>
      </c>
    </row>
    <row r="245" spans="1:4" x14ac:dyDescent="0.25">
      <c r="A245" s="6">
        <v>14705</v>
      </c>
      <c r="B245" s="5" t="s">
        <v>264</v>
      </c>
      <c r="C245" s="5" t="s">
        <v>27</v>
      </c>
      <c r="D245" s="5" t="s">
        <v>28</v>
      </c>
    </row>
    <row r="246" spans="1:4" x14ac:dyDescent="0.25">
      <c r="A246" s="6">
        <v>44619</v>
      </c>
      <c r="B246" s="5" t="s">
        <v>265</v>
      </c>
      <c r="C246" s="5" t="s">
        <v>12</v>
      </c>
      <c r="D246" s="5" t="s">
        <v>24</v>
      </c>
    </row>
    <row r="247" spans="1:4" x14ac:dyDescent="0.25">
      <c r="A247" s="6">
        <v>30971</v>
      </c>
      <c r="B247" s="5" t="s">
        <v>266</v>
      </c>
      <c r="C247" s="5" t="s">
        <v>12</v>
      </c>
      <c r="D247" s="5" t="s">
        <v>24</v>
      </c>
    </row>
    <row r="248" spans="1:4" x14ac:dyDescent="0.25">
      <c r="A248" s="6">
        <v>18787</v>
      </c>
      <c r="B248" s="5" t="s">
        <v>267</v>
      </c>
      <c r="C248" s="5" t="s">
        <v>27</v>
      </c>
      <c r="D248" s="5" t="s">
        <v>28</v>
      </c>
    </row>
    <row r="249" spans="1:4" x14ac:dyDescent="0.25">
      <c r="A249" s="6">
        <v>41229</v>
      </c>
      <c r="B249" s="5" t="s">
        <v>268</v>
      </c>
      <c r="C249" s="5" t="s">
        <v>27</v>
      </c>
      <c r="D249" s="5" t="s">
        <v>28</v>
      </c>
    </row>
    <row r="250" spans="1:4" x14ac:dyDescent="0.25">
      <c r="A250" s="6">
        <v>32103</v>
      </c>
      <c r="B250" s="5" t="s">
        <v>269</v>
      </c>
      <c r="C250" s="5" t="s">
        <v>27</v>
      </c>
      <c r="D250" s="5" t="s">
        <v>28</v>
      </c>
    </row>
    <row r="251" spans="1:4" x14ac:dyDescent="0.25">
      <c r="A251" s="6">
        <v>30143</v>
      </c>
      <c r="B251" s="5" t="s">
        <v>270</v>
      </c>
      <c r="C251" s="5" t="s">
        <v>27</v>
      </c>
      <c r="D251" s="5" t="s">
        <v>28</v>
      </c>
    </row>
    <row r="252" spans="1:4" x14ac:dyDescent="0.25">
      <c r="A252" s="6">
        <v>15805</v>
      </c>
      <c r="B252" s="5" t="s">
        <v>271</v>
      </c>
      <c r="C252" s="5" t="s">
        <v>12</v>
      </c>
      <c r="D252" s="5" t="s">
        <v>21</v>
      </c>
    </row>
    <row r="253" spans="1:4" x14ac:dyDescent="0.25">
      <c r="A253" s="6">
        <v>28209</v>
      </c>
      <c r="B253" s="5" t="s">
        <v>272</v>
      </c>
      <c r="C253" s="5" t="s">
        <v>27</v>
      </c>
      <c r="D253" s="5" t="s">
        <v>28</v>
      </c>
    </row>
    <row r="254" spans="1:4" x14ac:dyDescent="0.25">
      <c r="A254" s="6">
        <v>45641</v>
      </c>
      <c r="B254" s="5" t="s">
        <v>273</v>
      </c>
      <c r="C254" s="5" t="s">
        <v>27</v>
      </c>
      <c r="D254" s="5" t="s">
        <v>28</v>
      </c>
    </row>
    <row r="255" spans="1:4" x14ac:dyDescent="0.25">
      <c r="A255" s="6">
        <v>34446</v>
      </c>
      <c r="B255" s="5" t="s">
        <v>274</v>
      </c>
      <c r="C255" s="5" t="s">
        <v>27</v>
      </c>
      <c r="D255" s="5" t="s">
        <v>28</v>
      </c>
    </row>
    <row r="256" spans="1:4" x14ac:dyDescent="0.25">
      <c r="A256" s="6">
        <v>22598</v>
      </c>
      <c r="B256" s="5" t="s">
        <v>18</v>
      </c>
      <c r="C256" s="5" t="s">
        <v>5</v>
      </c>
      <c r="D256" s="5" t="s">
        <v>9</v>
      </c>
    </row>
    <row r="257" spans="1:4" x14ac:dyDescent="0.25">
      <c r="A257" s="6">
        <v>34486</v>
      </c>
      <c r="B257" s="5" t="s">
        <v>275</v>
      </c>
      <c r="C257" s="5" t="s">
        <v>27</v>
      </c>
      <c r="D257" s="5" t="s">
        <v>28</v>
      </c>
    </row>
    <row r="258" spans="1:4" x14ac:dyDescent="0.25">
      <c r="A258" s="6">
        <v>33463</v>
      </c>
      <c r="B258" s="5" t="s">
        <v>276</v>
      </c>
      <c r="C258" s="5" t="s">
        <v>27</v>
      </c>
      <c r="D258" s="5" t="s">
        <v>56</v>
      </c>
    </row>
    <row r="259" spans="1:4" x14ac:dyDescent="0.25">
      <c r="A259" s="6">
        <v>46604</v>
      </c>
      <c r="B259" s="5" t="s">
        <v>277</v>
      </c>
      <c r="C259" s="5" t="s">
        <v>27</v>
      </c>
      <c r="D259" s="5" t="s">
        <v>56</v>
      </c>
    </row>
    <row r="260" spans="1:4" x14ac:dyDescent="0.25">
      <c r="A260" s="6">
        <v>33393</v>
      </c>
      <c r="B260" s="5" t="s">
        <v>278</v>
      </c>
      <c r="C260" s="5" t="s">
        <v>27</v>
      </c>
      <c r="D260" s="5" t="s">
        <v>28</v>
      </c>
    </row>
    <row r="261" spans="1:4" x14ac:dyDescent="0.25">
      <c r="A261" s="6">
        <v>38839</v>
      </c>
      <c r="B261" s="5" t="s">
        <v>279</v>
      </c>
      <c r="C261" s="5" t="s">
        <v>27</v>
      </c>
      <c r="D261" s="5" t="s">
        <v>28</v>
      </c>
    </row>
    <row r="262" spans="1:4" x14ac:dyDescent="0.25">
      <c r="A262" s="6">
        <v>16219</v>
      </c>
      <c r="B262" s="5" t="s">
        <v>280</v>
      </c>
      <c r="C262" s="5" t="s">
        <v>27</v>
      </c>
      <c r="D262" s="5" t="s">
        <v>56</v>
      </c>
    </row>
    <row r="263" spans="1:4" x14ac:dyDescent="0.25">
      <c r="A263" s="6">
        <v>34867</v>
      </c>
      <c r="B263" s="5" t="s">
        <v>281</v>
      </c>
      <c r="C263" s="5" t="s">
        <v>27</v>
      </c>
      <c r="D263" s="5" t="s">
        <v>28</v>
      </c>
    </row>
    <row r="264" spans="1:4" x14ac:dyDescent="0.25">
      <c r="A264" s="6">
        <v>43870</v>
      </c>
      <c r="B264" s="5" t="s">
        <v>282</v>
      </c>
      <c r="C264" s="5" t="s">
        <v>27</v>
      </c>
      <c r="D264" s="5" t="s">
        <v>28</v>
      </c>
    </row>
    <row r="265" spans="1:4" x14ac:dyDescent="0.25">
      <c r="A265" s="6">
        <v>34527</v>
      </c>
      <c r="B265" s="5" t="s">
        <v>283</v>
      </c>
      <c r="C265" s="5" t="s">
        <v>27</v>
      </c>
      <c r="D265" s="5" t="s">
        <v>28</v>
      </c>
    </row>
    <row r="266" spans="1:4" x14ac:dyDescent="0.25">
      <c r="A266" s="6">
        <v>35125</v>
      </c>
      <c r="B266" s="5" t="s">
        <v>284</v>
      </c>
      <c r="C266" s="5" t="s">
        <v>12</v>
      </c>
      <c r="D266" s="5" t="s">
        <v>13</v>
      </c>
    </row>
    <row r="267" spans="1:4" x14ac:dyDescent="0.25">
      <c r="A267" s="6">
        <v>26264</v>
      </c>
      <c r="B267" s="5" t="s">
        <v>285</v>
      </c>
      <c r="C267" s="5" t="s">
        <v>27</v>
      </c>
      <c r="D267" s="5" t="s">
        <v>56</v>
      </c>
    </row>
    <row r="268" spans="1:4" x14ac:dyDescent="0.25">
      <c r="A268" s="6">
        <v>48261</v>
      </c>
      <c r="B268" s="5" t="s">
        <v>286</v>
      </c>
      <c r="C268" s="5" t="s">
        <v>12</v>
      </c>
      <c r="D268" s="5" t="s">
        <v>13</v>
      </c>
    </row>
    <row r="269" spans="1:4" x14ac:dyDescent="0.25">
      <c r="A269" s="6">
        <v>39800</v>
      </c>
      <c r="B269" s="5" t="s">
        <v>287</v>
      </c>
      <c r="C269" s="5" t="s">
        <v>27</v>
      </c>
      <c r="D269" s="5" t="s">
        <v>28</v>
      </c>
    </row>
    <row r="270" spans="1:4" x14ac:dyDescent="0.25">
      <c r="A270" s="6">
        <v>32727</v>
      </c>
      <c r="B270" s="5" t="s">
        <v>288</v>
      </c>
      <c r="C270" s="5" t="s">
        <v>27</v>
      </c>
      <c r="D270" s="5" t="s">
        <v>56</v>
      </c>
    </row>
    <row r="271" spans="1:4" x14ac:dyDescent="0.25">
      <c r="A271" s="6">
        <v>40597</v>
      </c>
      <c r="B271" s="5" t="s">
        <v>289</v>
      </c>
      <c r="C271" s="5" t="s">
        <v>12</v>
      </c>
      <c r="D271" s="5" t="s">
        <v>33</v>
      </c>
    </row>
    <row r="272" spans="1:4" x14ac:dyDescent="0.25">
      <c r="A272" s="6">
        <v>22361</v>
      </c>
      <c r="B272" s="5" t="s">
        <v>290</v>
      </c>
      <c r="C272" s="5" t="s">
        <v>12</v>
      </c>
      <c r="D272" s="5" t="s">
        <v>24</v>
      </c>
    </row>
    <row r="273" spans="1:4" x14ac:dyDescent="0.25">
      <c r="A273" s="6">
        <v>14605</v>
      </c>
      <c r="B273" s="5" t="s">
        <v>291</v>
      </c>
      <c r="C273" s="5" t="s">
        <v>12</v>
      </c>
      <c r="D273" s="5" t="s">
        <v>24</v>
      </c>
    </row>
    <row r="274" spans="1:4" x14ac:dyDescent="0.25">
      <c r="A274" s="6">
        <v>31429</v>
      </c>
      <c r="B274" s="5" t="s">
        <v>292</v>
      </c>
      <c r="C274" s="5" t="s">
        <v>12</v>
      </c>
      <c r="D274" s="5" t="s">
        <v>33</v>
      </c>
    </row>
    <row r="275" spans="1:4" x14ac:dyDescent="0.25">
      <c r="A275" s="6">
        <v>21972</v>
      </c>
      <c r="B275" s="5" t="s">
        <v>293</v>
      </c>
      <c r="C275" s="5" t="s">
        <v>12</v>
      </c>
      <c r="D275" s="5" t="s">
        <v>33</v>
      </c>
    </row>
    <row r="276" spans="1:4" x14ac:dyDescent="0.25">
      <c r="A276" s="6">
        <v>31468</v>
      </c>
      <c r="B276" s="5" t="s">
        <v>294</v>
      </c>
      <c r="C276" s="5" t="s">
        <v>27</v>
      </c>
      <c r="D276" s="5" t="s">
        <v>28</v>
      </c>
    </row>
    <row r="277" spans="1:4" x14ac:dyDescent="0.25">
      <c r="A277" s="6">
        <v>30501</v>
      </c>
      <c r="B277" s="5" t="s">
        <v>295</v>
      </c>
      <c r="C277" s="5" t="s">
        <v>27</v>
      </c>
      <c r="D277" s="5" t="s">
        <v>28</v>
      </c>
    </row>
    <row r="278" spans="1:4" x14ac:dyDescent="0.25">
      <c r="A278" s="6">
        <v>36184</v>
      </c>
      <c r="B278" s="5" t="s">
        <v>296</v>
      </c>
      <c r="C278" s="5" t="s">
        <v>27</v>
      </c>
      <c r="D278" s="5" t="s">
        <v>28</v>
      </c>
    </row>
    <row r="279" spans="1:4" x14ac:dyDescent="0.25">
      <c r="A279" s="6">
        <v>37800</v>
      </c>
      <c r="B279" s="5" t="s">
        <v>297</v>
      </c>
      <c r="C279" s="5" t="s">
        <v>12</v>
      </c>
      <c r="D279" s="5" t="s">
        <v>33</v>
      </c>
    </row>
    <row r="280" spans="1:4" x14ac:dyDescent="0.25">
      <c r="A280" s="6">
        <v>14416</v>
      </c>
      <c r="B280" s="5" t="s">
        <v>298</v>
      </c>
      <c r="C280" s="5" t="s">
        <v>12</v>
      </c>
      <c r="D280" s="5" t="s">
        <v>33</v>
      </c>
    </row>
    <row r="281" spans="1:4" x14ac:dyDescent="0.25">
      <c r="A281" s="6">
        <v>49284</v>
      </c>
      <c r="B281" s="5" t="s">
        <v>299</v>
      </c>
      <c r="C281" s="5" t="s">
        <v>27</v>
      </c>
      <c r="D281" s="5" t="s">
        <v>28</v>
      </c>
    </row>
    <row r="282" spans="1:4" x14ac:dyDescent="0.25">
      <c r="A282" s="6">
        <v>21053</v>
      </c>
      <c r="B282" s="5" t="s">
        <v>300</v>
      </c>
      <c r="C282" s="5" t="s">
        <v>27</v>
      </c>
      <c r="D282" s="5" t="s">
        <v>28</v>
      </c>
    </row>
    <row r="283" spans="1:4" x14ac:dyDescent="0.25">
      <c r="A283" s="6">
        <v>11157</v>
      </c>
      <c r="B283" s="5" t="s">
        <v>301</v>
      </c>
      <c r="C283" s="5" t="s">
        <v>12</v>
      </c>
      <c r="D283" s="5" t="s">
        <v>21</v>
      </c>
    </row>
    <row r="284" spans="1:4" x14ac:dyDescent="0.25">
      <c r="A284" s="6">
        <v>24232</v>
      </c>
      <c r="B284" s="5" t="s">
        <v>302</v>
      </c>
      <c r="C284" s="5" t="s">
        <v>27</v>
      </c>
      <c r="D284" s="5" t="s">
        <v>28</v>
      </c>
    </row>
    <row r="285" spans="1:4" x14ac:dyDescent="0.25">
      <c r="A285" s="6">
        <v>24158</v>
      </c>
      <c r="B285" s="5" t="s">
        <v>303</v>
      </c>
      <c r="C285" s="5" t="s">
        <v>27</v>
      </c>
      <c r="D285" s="5" t="s">
        <v>28</v>
      </c>
    </row>
    <row r="286" spans="1:4" x14ac:dyDescent="0.25">
      <c r="A286" s="6">
        <v>22338</v>
      </c>
      <c r="B286" s="5" t="s">
        <v>304</v>
      </c>
      <c r="C286" s="5" t="s">
        <v>27</v>
      </c>
      <c r="D286" s="5" t="s">
        <v>28</v>
      </c>
    </row>
    <row r="287" spans="1:4" x14ac:dyDescent="0.25">
      <c r="A287" s="6">
        <v>17779</v>
      </c>
      <c r="B287" s="5" t="s">
        <v>305</v>
      </c>
      <c r="C287" s="5" t="s">
        <v>27</v>
      </c>
      <c r="D287" s="5" t="s">
        <v>56</v>
      </c>
    </row>
    <row r="288" spans="1:4" x14ac:dyDescent="0.25">
      <c r="A288" s="6">
        <v>29054</v>
      </c>
      <c r="B288" s="5" t="s">
        <v>306</v>
      </c>
      <c r="C288" s="5" t="s">
        <v>27</v>
      </c>
      <c r="D288" s="5" t="s">
        <v>28</v>
      </c>
    </row>
    <row r="289" spans="1:4" x14ac:dyDescent="0.25">
      <c r="A289" s="6">
        <v>42459</v>
      </c>
      <c r="B289" s="5" t="s">
        <v>307</v>
      </c>
      <c r="C289" s="5" t="s">
        <v>27</v>
      </c>
      <c r="D289" s="5" t="s">
        <v>56</v>
      </c>
    </row>
    <row r="290" spans="1:4" x14ac:dyDescent="0.25">
      <c r="A290" s="6">
        <v>10737</v>
      </c>
      <c r="B290" s="5" t="s">
        <v>308</v>
      </c>
      <c r="C290" s="5" t="s">
        <v>27</v>
      </c>
      <c r="D290" s="5" t="s">
        <v>28</v>
      </c>
    </row>
    <row r="291" spans="1:4" x14ac:dyDescent="0.25">
      <c r="A291" s="6">
        <v>43337</v>
      </c>
      <c r="B291" s="5" t="s">
        <v>309</v>
      </c>
      <c r="C291" s="5" t="s">
        <v>27</v>
      </c>
      <c r="D291" s="5" t="s">
        <v>28</v>
      </c>
    </row>
    <row r="292" spans="1:4" x14ac:dyDescent="0.25">
      <c r="A292" s="6">
        <v>49718</v>
      </c>
      <c r="B292" s="5" t="s">
        <v>310</v>
      </c>
      <c r="C292" s="5" t="s">
        <v>27</v>
      </c>
      <c r="D292" s="5" t="s">
        <v>56</v>
      </c>
    </row>
    <row r="293" spans="1:4" x14ac:dyDescent="0.25">
      <c r="A293" s="6">
        <v>29321</v>
      </c>
      <c r="B293" s="5" t="s">
        <v>311</v>
      </c>
      <c r="C293" s="5" t="s">
        <v>12</v>
      </c>
      <c r="D293" s="5" t="s">
        <v>33</v>
      </c>
    </row>
    <row r="294" spans="1:4" x14ac:dyDescent="0.25">
      <c r="A294" s="6">
        <v>24234</v>
      </c>
      <c r="B294" s="5" t="s">
        <v>312</v>
      </c>
      <c r="C294" s="5" t="s">
        <v>27</v>
      </c>
      <c r="D294" s="5" t="s">
        <v>28</v>
      </c>
    </row>
    <row r="295" spans="1:4" x14ac:dyDescent="0.25">
      <c r="A295" s="6">
        <v>32140</v>
      </c>
      <c r="B295" s="5" t="s">
        <v>313</v>
      </c>
      <c r="C295" s="5" t="s">
        <v>27</v>
      </c>
      <c r="D295" s="5" t="s">
        <v>28</v>
      </c>
    </row>
    <row r="296" spans="1:4" x14ac:dyDescent="0.25">
      <c r="A296" s="6">
        <v>24993</v>
      </c>
      <c r="B296" s="5" t="s">
        <v>314</v>
      </c>
      <c r="C296" s="5" t="s">
        <v>27</v>
      </c>
      <c r="D296" s="5" t="s">
        <v>56</v>
      </c>
    </row>
    <row r="297" spans="1:4" x14ac:dyDescent="0.25">
      <c r="A297" s="6">
        <v>41175</v>
      </c>
      <c r="B297" s="5" t="s">
        <v>315</v>
      </c>
      <c r="C297" s="5" t="s">
        <v>27</v>
      </c>
      <c r="D297" s="5" t="s">
        <v>28</v>
      </c>
    </row>
    <row r="298" spans="1:4" x14ac:dyDescent="0.25">
      <c r="A298" s="6">
        <v>34785</v>
      </c>
      <c r="B298" s="5" t="s">
        <v>316</v>
      </c>
      <c r="C298" s="5" t="s">
        <v>27</v>
      </c>
      <c r="D298" s="5" t="s">
        <v>28</v>
      </c>
    </row>
    <row r="299" spans="1:4" x14ac:dyDescent="0.25">
      <c r="A299" s="6">
        <v>28931</v>
      </c>
      <c r="B299" s="5" t="s">
        <v>317</v>
      </c>
      <c r="C299" s="5" t="s">
        <v>27</v>
      </c>
      <c r="D299" s="5" t="s">
        <v>56</v>
      </c>
    </row>
    <row r="300" spans="1:4" x14ac:dyDescent="0.25">
      <c r="A300" s="6">
        <v>33576</v>
      </c>
      <c r="B300" s="5" t="s">
        <v>318</v>
      </c>
      <c r="C300" s="5" t="s">
        <v>27</v>
      </c>
      <c r="D300" s="5" t="s">
        <v>28</v>
      </c>
    </row>
    <row r="301" spans="1:4" x14ac:dyDescent="0.25">
      <c r="A301" s="6">
        <v>19486</v>
      </c>
      <c r="B301" s="5" t="s">
        <v>319</v>
      </c>
      <c r="C301" s="5" t="s">
        <v>27</v>
      </c>
      <c r="D301" s="5" t="s">
        <v>28</v>
      </c>
    </row>
    <row r="302" spans="1:4" x14ac:dyDescent="0.25">
      <c r="A302" s="6">
        <v>36549</v>
      </c>
      <c r="B302" s="5" t="s">
        <v>320</v>
      </c>
      <c r="C302" s="5" t="s">
        <v>27</v>
      </c>
      <c r="D302" s="5" t="s">
        <v>56</v>
      </c>
    </row>
    <row r="303" spans="1:4" x14ac:dyDescent="0.25">
      <c r="A303" s="6">
        <v>29010</v>
      </c>
      <c r="B303" s="5" t="s">
        <v>321</v>
      </c>
      <c r="C303" s="5" t="s">
        <v>27</v>
      </c>
      <c r="D303" s="5" t="s">
        <v>28</v>
      </c>
    </row>
    <row r="304" spans="1:4" x14ac:dyDescent="0.25">
      <c r="A304" s="6">
        <v>41732</v>
      </c>
      <c r="B304" s="5" t="s">
        <v>322</v>
      </c>
      <c r="C304" s="5" t="s">
        <v>27</v>
      </c>
      <c r="D304" s="5" t="s">
        <v>28</v>
      </c>
    </row>
    <row r="305" spans="1:4" x14ac:dyDescent="0.25">
      <c r="A305" s="6">
        <v>19114</v>
      </c>
      <c r="B305" s="5" t="s">
        <v>323</v>
      </c>
      <c r="C305" s="5" t="s">
        <v>27</v>
      </c>
      <c r="D305" s="5" t="s">
        <v>28</v>
      </c>
    </row>
    <row r="306" spans="1:4" x14ac:dyDescent="0.25">
      <c r="A306" s="6">
        <v>42572</v>
      </c>
      <c r="B306" s="5" t="s">
        <v>324</v>
      </c>
      <c r="C306" s="5" t="s">
        <v>27</v>
      </c>
      <c r="D306" s="5" t="s">
        <v>28</v>
      </c>
    </row>
    <row r="307" spans="1:4" x14ac:dyDescent="0.25">
      <c r="A307" s="6">
        <v>24182</v>
      </c>
      <c r="B307" s="5" t="s">
        <v>325</v>
      </c>
      <c r="C307" s="5" t="s">
        <v>27</v>
      </c>
      <c r="D307" s="5" t="s">
        <v>28</v>
      </c>
    </row>
    <row r="308" spans="1:4" x14ac:dyDescent="0.25">
      <c r="A308" s="6">
        <v>30789</v>
      </c>
      <c r="B308" s="5" t="s">
        <v>326</v>
      </c>
      <c r="C308" s="5" t="s">
        <v>27</v>
      </c>
      <c r="D308" s="5" t="s">
        <v>28</v>
      </c>
    </row>
    <row r="309" spans="1:4" x14ac:dyDescent="0.25">
      <c r="A309" s="6">
        <v>16484</v>
      </c>
      <c r="B309" s="5" t="s">
        <v>327</v>
      </c>
      <c r="C309" s="5" t="s">
        <v>27</v>
      </c>
      <c r="D309" s="5" t="s">
        <v>28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Treino</vt:lpstr>
      <vt:lpstr>Treino 2</vt:lpstr>
      <vt:lpstr>ÍNDICE CORRESP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JUNIOR COSTA</cp:lastModifiedBy>
  <dcterms:created xsi:type="dcterms:W3CDTF">2021-01-13T17:37:54Z</dcterms:created>
  <dcterms:modified xsi:type="dcterms:W3CDTF">2026-07-15T17:51:00Z</dcterms:modified>
</cp:coreProperties>
</file>